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Project" sheetId="2" r:id="rId6"/>
    <sheet state="visible" name="Weekly Check-in" sheetId="3" r:id="rId7"/>
    <sheet state="visible" name="How to Use" sheetId="4" r:id="rId8"/>
  </sheets>
  <definedNames/>
  <calcPr/>
</workbook>
</file>

<file path=xl/sharedStrings.xml><?xml version="1.0" encoding="utf-8"?>
<sst xmlns="http://schemas.openxmlformats.org/spreadsheetml/2006/main" count="355" uniqueCount="250">
  <si>
    <t>RawTalent  ·  Project Management Tracker</t>
  </si>
  <si>
    <t>Casual Staffing Made Easy — Operational Initiatives, Owners &amp; Progress</t>
  </si>
  <si>
    <t>Live dashboard — auto-calculates from the Initiatives tab. Update Initiatives, and this refreshes.</t>
  </si>
  <si>
    <t>TOTAL PROJECTS</t>
  </si>
  <si>
    <t>IN PROGRESS</t>
  </si>
  <si>
    <t>COMPLETE</t>
  </si>
  <si>
    <t>BLOCKED / AT RISK</t>
  </si>
  <si>
    <t>% COMPLETE</t>
  </si>
  <si>
    <t>STATUS BREAKDOWN</t>
  </si>
  <si>
    <t>Status</t>
  </si>
  <si>
    <t>Count</t>
  </si>
  <si>
    <t>Not Started</t>
  </si>
  <si>
    <t>In Progress</t>
  </si>
  <si>
    <t>Blocked</t>
  </si>
  <si>
    <t>At Risk</t>
  </si>
  <si>
    <t>Complete</t>
  </si>
  <si>
    <t>On Hold</t>
  </si>
  <si>
    <t>WORKLOAD BY OWNER</t>
  </si>
  <si>
    <t>Owner</t>
  </si>
  <si>
    <t>Open Items</t>
  </si>
  <si>
    <t>Liam</t>
  </si>
  <si>
    <t>Jane</t>
  </si>
  <si>
    <t>Adrian</t>
  </si>
  <si>
    <t>Lorie</t>
  </si>
  <si>
    <t>Sophia</t>
  </si>
  <si>
    <t>Joy</t>
  </si>
  <si>
    <t>Raj/Prince</t>
  </si>
  <si>
    <t>RawTalent · Project Tracker</t>
  </si>
  <si>
    <t>Add one row per initiative. Fill every column. Update Status + % Complete + Last Update weekly (Mondays). Overdue dates auto-flag red.</t>
  </si>
  <si>
    <t>ID</t>
  </si>
  <si>
    <t>Project</t>
  </si>
  <si>
    <t>Description / Context</t>
  </si>
  <si>
    <t>Category</t>
  </si>
  <si>
    <t>Priority</t>
  </si>
  <si>
    <t>Date Started</t>
  </si>
  <si>
    <t>Target Date</t>
  </si>
  <si>
    <t>Days Open</t>
  </si>
  <si>
    <t>Days to Due</t>
  </si>
  <si>
    <t>% Complete</t>
  </si>
  <si>
    <t>Success Metric (how we know it worked)</t>
  </si>
  <si>
    <t>Data Source</t>
  </si>
  <si>
    <t>Blockers / Risk</t>
  </si>
  <si>
    <t>Last Update</t>
  </si>
  <si>
    <t>Updated On</t>
  </si>
  <si>
    <t>RT-01</t>
  </si>
  <si>
    <t>Reclassify cancellation data &amp; restate true fill rate</t>
  </si>
  <si>
    <t>Stop logging last-minute centre cancellations as "client cancelled" when actually unfilled. Restate ~72% true SA fill rate internally and to Edge. Train team on new rule.</t>
  </si>
  <si>
    <t>Data &amp; Reporting</t>
  </si>
  <si>
    <t>P1</t>
  </si>
  <si>
    <t>All cancellations correctly classified for 4 consecutive weeks; one true fill-rate number reported</t>
  </si>
  <si>
    <t>Booking platform / Monthly Report</t>
  </si>
  <si>
    <t>Definitions drafted; team briefing pending</t>
  </si>
  <si>
    <t>RT-02</t>
  </si>
  <si>
    <t>Close SA pay gap at worst-fill centres</t>
  </si>
  <si>
    <t>Raw Talent pays ~$42/hr vs competitor ~$46/hr; educators take higher-paid shift. Re-price Brahma Lodge (59.5%), Flagstaff Hill (62.4%), Angle Vale Merlot, Gawler East. Model profitability vs Edge charge rates first.</t>
  </si>
  <si>
    <t>Operations</t>
  </si>
  <si>
    <t>Top-4 SA centres clear 90% fill within 6 weeks of re-pricing</t>
  </si>
  <si>
    <t>SA Educator Engagement Report</t>
  </si>
  <si>
    <t>Need per-centre charge-rate vs pay-rate model</t>
  </si>
  <si>
    <t>Awaiting profitability model from Joy</t>
  </si>
  <si>
    <t>RT-03</t>
  </si>
  <si>
    <t>Fix app geofencing / notification bug (hidden shifts)</t>
  </si>
  <si>
    <t>Compliant, in-radius SA educators not seeing live bookings; admin must assign manually. Escalate to dev (Prince/Raj) with screenshots, timestamps, booking IDs + same-time speed test. Interim: paid SMS alerts.</t>
  </si>
  <si>
    <t>Technology</t>
  </si>
  <si>
    <t>In-radius compliant educators reliably receive &amp; see all eligible shifts</t>
  </si>
  <si>
    <t>App / Portal admin logs</t>
  </si>
  <si>
    <t>Needs reproducible evidence pack</t>
  </si>
  <si>
    <t>Evidence being collected by Lorie</t>
  </si>
  <si>
    <t>RT-04</t>
  </si>
  <si>
    <t>Daily SA fill war-room</t>
  </si>
  <si>
    <t>Daily triage of top-volume Edge centres (Royal Park, Brahma Lodge, Virginia, Elizabeth Park): favourites push, availability checks, backup-pool activation before centres cancel.</t>
  </si>
  <si>
    <t>Weekly SA fill rate trending to 90%+</t>
  </si>
  <si>
    <t>Daily booking report</t>
  </si>
  <si>
    <t>Setting up 8am stand-up</t>
  </si>
  <si>
    <t>RT-05</t>
  </si>
  <si>
    <t>SA educator engagement &amp; appreciation drive</t>
  </si>
  <si>
    <t>Call active/dormant SA educators (4-6pm best contact) to surface app issues &amp; retain. Educator appreciation certificates hand-delivered on centre visits. Grow finite Adelaide pool.</t>
  </si>
  <si>
    <t>Supply / Educators</t>
  </si>
  <si>
    <t>166 SA educators retained/grown; first-shift conversion improved</t>
  </si>
  <si>
    <t>10-15 appreciation certs in production</t>
  </si>
  <si>
    <t>RT-06</t>
  </si>
  <si>
    <t>Liam SA centre &amp; educator discovery calls</t>
  </si>
  <si>
    <t>Visit/record Edge centres + call SA educators in 3 segments (active / declining / lapsed) to learn why they drift to Entrée, what Entrée does well, and what to fix.</t>
  </si>
  <si>
    <t>Client Relationships</t>
  </si>
  <si>
    <t>Documented insight pack: why Edge leaves, Entrée strengths, fix list</t>
  </si>
  <si>
    <t>Recorded calls (AI-analysed)</t>
  </si>
  <si>
    <t>Centre visit list being built with Jane</t>
  </si>
  <si>
    <t>RT-07</t>
  </si>
  <si>
    <t>Rebuild onboarding funnel (lift ~10% activation)</t>
  </si>
  <si>
    <t>Move qualifying earlier (phone screen + references + video before portal). Centre-callback references with weighted pass/fail (&gt;=70%). Video-interview prep explainer to cut apprehension. Tighten ad targeting.</t>
  </si>
  <si>
    <t>Onboarding (Applicant)</t>
  </si>
  <si>
    <t>P2</t>
  </si>
  <si>
    <t>Activation rate lifted from ~10% toward 25%+; SA prioritised</t>
  </si>
  <si>
    <t>Onboarding funnel report</t>
  </si>
  <si>
    <t>Reference form rewrite + SOPs needed</t>
  </si>
  <si>
    <t>New reference call-flow in design</t>
  </si>
  <si>
    <t>RT-08</t>
  </si>
  <si>
    <t>Redesign client onboarding (tech + nurture sequences)</t>
  </si>
  <si>
    <t>Rework how new centres are onboarded — landing pages, email nurture, SOPs, portal touchpoints.</t>
  </si>
  <si>
    <t>Onboarding (Client)</t>
  </si>
  <si>
    <t>New client onboarding live &amp; tested with 3 centres</t>
  </si>
  <si>
    <t>CRM / dev board</t>
  </si>
  <si>
    <t>Scope to be confirmed with Liam</t>
  </si>
  <si>
    <t>RT-09</t>
  </si>
  <si>
    <t>Hire local SA Account Manager / Workforce Partner</t>
  </si>
  <si>
    <t>On-the-ground Adelaide relationship manager (centre visits, feature adoption, retention) while offshore team runs transactional bookings. Trial with retention KPIs.</t>
  </si>
  <si>
    <t>People &amp; Org</t>
  </si>
  <si>
    <t>AM in seat; SA centre retention &amp; favourites up</t>
  </si>
  <si>
    <t>HR / hiring pipeline</t>
  </si>
  <si>
    <t>Role + KPIs to be defined (one-pager)</t>
  </si>
  <si>
    <t>RT-10</t>
  </si>
  <si>
    <t>Two-tier pricing pilot (vs Talent Now Casual Connect)</t>
  </si>
  <si>
    <t>Add a booking-fee-only tier alongside full-service; prepare Worker Retention Payment-eligible messaging before scheme expiry 30 Nov 2026.</t>
  </si>
  <si>
    <t>Pilot tier live; WRP-eligible volume captured</t>
  </si>
  <si>
    <t>Pricing model</t>
  </si>
  <si>
    <t>Awaiting fill-rate stabilisation first</t>
  </si>
  <si>
    <t>RT-11</t>
  </si>
  <si>
    <t>Centre-visible compliance / credential dashboard</t>
  </si>
  <si>
    <t>Real-time credential expiry tracking visible to centres. Launch hook: GECKO child-safety training mandatory on portal 1 Jul 2026.</t>
  </si>
  <si>
    <t>P3</t>
  </si>
  <si>
    <t>Centres can see educator compliance status live</t>
  </si>
  <si>
    <t>App / Portal</t>
  </si>
  <si>
    <t>Tied to GECKO 1 Jul rollout</t>
  </si>
  <si>
    <t>RT-13</t>
  </si>
  <si>
    <t>Build &amp; maintain Initiative Tracker (this file)</t>
  </si>
  <si>
    <t>Single source of truth for all initiatives, owners, deadlines, status. Updated weekly; reviewed in Monday check-in.</t>
  </si>
  <si>
    <t>Governance</t>
  </si>
  <si>
    <t>All initiatives logged with owner/date/status; updated weekly</t>
  </si>
  <si>
    <t>This file</t>
  </si>
  <si>
    <t>Tracker built; rolling out to managers</t>
  </si>
  <si>
    <t>Team Observation</t>
  </si>
  <si>
    <t>Shadow and observe each function (booking mornings, onboarding calls, reference checks, inbound queue) to understand how work actually happens vs how it's documented. Feeds the structure review and SOP revision with ground truth.</t>
  </si>
  <si>
    <t>Joy/Sophia</t>
  </si>
  <si>
    <t>Each function (booking, onboarding, references, inbound queue) observed and documented; written ground-truth notes feed the structure review and SOP revision</t>
  </si>
  <si>
    <t>Direct observation / shadowing notes</t>
  </si>
  <si>
    <t>Requires time with offshore team across their working hours</t>
  </si>
  <si>
    <t>Observation schedule being set with managers</t>
  </si>
  <si>
    <t>RT-14</t>
  </si>
  <si>
    <t>New Team Structure &amp; Clear Responsibilities</t>
  </si>
  <si>
    <t>Map the existing team as-is — who does what across booking, onboarding, QA, operations, and the offshore Philippines consultants. Surface overlaps, gaps, and the fact that Liam is stretched across strategic, operational, and tactical work. Baseline for designing the new structure. Design the target operating model — defined roles, a layer between Liam and the managers (senior ops manager), local SA workforce partner, and clear split between transactional (offshore) vs relationship (on-ground) work. Output: org chart + RACI so every role is well-defined.</t>
  </si>
  <si>
    <t>Approved org chart + RACI delivered; every role has defined responsibilities; senior ops layer and local SA workforce partner positions scoped</t>
  </si>
  <si>
    <t>Current Team Structure Review + Team Observation outputs</t>
  </si>
  <si>
    <t>Depends on structure review and observation completing first; needs Liam sign-off</t>
  </si>
  <si>
    <t>Awaiting baseline from structure review</t>
  </si>
  <si>
    <t>RT-15</t>
  </si>
  <si>
    <t>ClickUp Replacement OR Alternative Ways to better organise it</t>
  </si>
  <si>
    <t>Evaluate whether ClickUp is fit for purpose or should be replaced/reconfigured. Assess against team workflows (task tracking, onboarding pipeline, app-issue escalations to Prince). Recommend either an optimised ClickUp setup or an alternative.</t>
  </si>
  <si>
    <t>Documented recommendation (optimise ClickUp vs replace) with cost-benefit; decision made and rollout plan agreed</t>
  </si>
  <si>
    <t>Team workflows / ClickUp usage / consultant feedback</t>
  </si>
  <si>
    <t>Lower priority than fill-rate fixes; avoid disruption during peak season</t>
  </si>
  <si>
    <t>Not started — scoping after SA stabilises</t>
  </si>
  <si>
    <t>RT-16</t>
  </si>
  <si>
    <t>SOP Review and Revision</t>
  </si>
  <si>
    <t>Audit existing SOPs and call flows (vetting call, reference checks, video interview, booking management) for gaps and inconsistencies. Rewrite to a single standard so expectations are clear and repeatable — directly supports onboarding rebuild and quality.</t>
  </si>
  <si>
    <t>All core SOPs/call flows (vetting, references, video interview, booking) audited and rewritten to one standard; team trained on new versions</t>
  </si>
  <si>
    <t>Existing SOPs / call recordings / Team Observation</t>
  </si>
  <si>
    <t>Depends on Team Observation findings; coordinate with onboarding rebuild (RT-07)</t>
  </si>
  <si>
    <t>Pending observation completion</t>
  </si>
  <si>
    <t>RT-17</t>
  </si>
  <si>
    <t>Child Safety Training as mandatory for educators</t>
  </si>
  <si>
    <t>Since this is going to be mandatory in August for educators to work in childcare, we need to reach out to educators to complete this and also we'll need to make this mandatory in our system for July</t>
  </si>
  <si>
    <t>RT-18</t>
  </si>
  <si>
    <t>Consultant Call Quality Audit &amp; Performance Assessment</t>
  </si>
  <si>
    <t>Listen to all consultant onboarding/vetting calls. Rate each consultant on commercial awareness, rapport-building, urgency creation, and call structure. Output: retain / coach with timeline / replace recommendation per team member.</t>
  </si>
  <si>
    <t>Assessment matrix complete; at least one coaching plan or replacement action initiated</t>
  </si>
  <si>
    <t>Adelaide_Visit_Plan_Jun2026 file; Consultant Call QA file</t>
  </si>
  <si>
    <t>RT-19</t>
  </si>
  <si>
    <t>Lead Generation Framework via Onboarding Calls</t>
  </si>
  <si>
    <t>Build structured question framework for vetting/onboarding calls that extracts centre intelligence (centre name, address, agency usage frequency, contact name/role/email) and routes it as a qualified lead into JobAdder CRM. Directly supports Liam's centre visit pipeline.</t>
  </si>
  <si>
    <t>Leads flowing from onboarding calls into JobAdder; Liam has a prioritised centre visit list sourced from educator intel</t>
  </si>
  <si>
    <t>JobAdder CRM, onboarding call logs</t>
  </si>
  <si>
    <t>Requires updated call script + consultant training before rollout</t>
  </si>
  <si>
    <t>RT-20</t>
  </si>
  <si>
    <t>WRP Extra Toggle + Pay Rate Profitability Model</t>
  </si>
  <si>
    <t>Joy to build per-centre profitability model showing cost impact of enabling "base + extra + WRP" toggle for WRP-enrolled SA centres. Once validated, Liam enables in system to make Raw Talent the highest-paying option for experienced agency educators and reduce cancellations.</t>
  </si>
  <si>
    <t>Model built; toggle enabled at minimum for top 4 worst-fill SA centres; cancellation rate measurably drops</t>
  </si>
  <si>
    <t>SA Educator Engagement Report, Edge charge rate data, WRP enrolled centre list</t>
  </si>
  <si>
    <t>Needs Edge charge rates per centre before model can be finalised; links to RT-02</t>
  </si>
  <si>
    <t>RT-21</t>
  </si>
  <si>
    <t>Educator Referral Program</t>
  </si>
  <si>
    <t>Design and launch a referral incentive program where current educators refer new educators to Raw Talent. Liam confirmed this should exist but currently doesn't. Define reward structure, eligibility criteria, and how it's communicated in onboarding calls.</t>
  </si>
  <si>
    <t>Program live; at least 10 referrals generated within first 4 weeks</t>
  </si>
  <si>
    <t>App registration data</t>
  </si>
  <si>
    <t>Needs Liam sign-off on reward structure/budget before launch</t>
  </si>
  <si>
    <t>RT-22</t>
  </si>
  <si>
    <t>Cross-Train All Consultants: Onboarding + Inbound</t>
  </si>
  <si>
    <t>All consultants to be trained to handle both outbound onboarding calls and inbound calls from candidates/clients. Currently inbound calls are bottlenecked because not all team members are confident taking them. Ties to team quality review (RT-18).</t>
  </si>
  <si>
    <t>Every active consultant can independently manage an inbound call; zero dropped inbound calls due to team capacity</t>
  </si>
  <si>
    <t>Call handling logs, ClickUp task completion</t>
  </si>
  <si>
    <t>Dependent on RT-18 outcome (need to know who stays first); SOP revision (RT-16) should precede training</t>
  </si>
  <si>
    <t>RT-23</t>
  </si>
  <si>
    <t>Afternoon Leadership Coverage (Post-Jane Transition)</t>
  </si>
  <si>
    <t>Jane is stepping back from the afternoon space. Sophia to take on leadership in the PM window. Joy to coordinate with Sophia on AM/PM coverage split to ensure management presence across both windows. This will start after team structure review.</t>
  </si>
  <si>
    <t>AM/PM coverage schedule confirmed and operational; no leadership gap in afternoon window</t>
  </si>
  <si>
    <t>Team schedule / roster</t>
  </si>
  <si>
    <t>Liam to formally communicate Jane's reduced scope to the team</t>
  </si>
  <si>
    <t>RT-24</t>
  </si>
  <si>
    <t>Identifying Active Student in VIC</t>
  </si>
  <si>
    <r>
      <t xml:space="preserve">We'll identify Active Student in VIC by pulling a report from IT, and we'll reach out to them to clarify their course progress. 
- </t>
    </r>
    <r>
      <rPr>
        <rFont val="Calibri"/>
        <b/>
        <color rgb="FF1E2A3A"/>
        <sz val="9.0"/>
      </rPr>
      <t xml:space="preserve">If completed </t>
    </r>
    <r>
      <rPr>
        <rFont val="Calibri"/>
        <color rgb="FF1E2A3A"/>
        <sz val="9.0"/>
      </rPr>
      <t xml:space="preserve">- Ask educator to provide completion letter &amp; update the qualification details
- </t>
    </r>
    <r>
      <rPr>
        <rFont val="Calibri"/>
        <b/>
        <color rgb="FF1E2A3A"/>
        <sz val="9.0"/>
      </rPr>
      <t>If still in progress</t>
    </r>
    <r>
      <rPr>
        <rFont val="Calibri"/>
        <color rgb="FF1E2A3A"/>
        <sz val="9.0"/>
      </rPr>
      <t xml:space="preserve"> - Put educator to the centre banned list (Happy Hippo Brunswick &amp; Wattletree Malvern)</t>
    </r>
  </si>
  <si>
    <t>RT-25</t>
  </si>
  <si>
    <t>Automated Last-minute Shift Confirmation</t>
  </si>
  <si>
    <r>
      <t xml:space="preserve">
Work with the IT team to develop an automated Shift Confirmation system.
</t>
    </r>
    <r>
      <rPr>
        <rFont val="Calibri"/>
        <b/>
        <color rgb="FF1E2A3A"/>
        <sz val="9.0"/>
      </rPr>
      <t>The system would</t>
    </r>
    <r>
      <rPr>
        <rFont val="Calibri"/>
        <color rgb="FF1E2A3A"/>
        <sz val="9.0"/>
      </rPr>
      <t xml:space="preserve">:
- Ask educators to reconfirm their shifts
- Display our expectations/reminders before the shift (e.g. Be 10 minutes early, bring Sunhat and WWCC, Uniform standard, and encouragement for engagement)
- Notify our team once the educator confirms
- Show a confirmation indicator on the booking status
</t>
    </r>
    <r>
      <rPr>
        <rFont val="Calibri"/>
        <b/>
        <color rgb="FF1E2A3A"/>
        <sz val="9.0"/>
      </rPr>
      <t xml:space="preserve">
We should have:</t>
    </r>
    <r>
      <rPr>
        <rFont val="Calibri"/>
        <color rgb="FF1E2A3A"/>
        <sz val="9.0"/>
      </rPr>
      <t xml:space="preserve">
- One confirmation flow for regular educators
- Another confirmation flow for educators attending their first shift with us
 </t>
    </r>
  </si>
  <si>
    <t>RT-26</t>
  </si>
  <si>
    <t>New Onboarding Approach</t>
  </si>
  <si>
    <r>
      <t xml:space="preserve">
Jane is currently working on a new onboarding approach from start to finish and has created a presentation outlining the proposed process improvements.
</t>
    </r>
    <r>
      <rPr>
        <rFont val="Calibri"/>
        <b/>
        <color rgb="FF1E2A3A"/>
        <sz val="9.0"/>
      </rPr>
      <t>The goal is to:</t>
    </r>
    <r>
      <rPr>
        <rFont val="Calibri"/>
        <color rgb="FF1E2A3A"/>
        <sz val="9.0"/>
      </rPr>
      <t xml:space="preserve">
- Streamline onboarding workflows
- Improve candidate experience
- Reduce delays and manual follow-ups
- Create a more structured onboarding journey
</t>
    </r>
  </si>
  <si>
    <t>RT-27</t>
  </si>
  <si>
    <t xml:space="preserve"> Follow-Up Email Templates</t>
  </si>
  <si>
    <r>
      <t xml:space="preserve">
Create standardised email templates for the team to use when following up on incorrect or missing documents.
</t>
    </r>
    <r>
      <rPr>
        <rFont val="Calibri"/>
        <b/>
        <color rgb="FF1E2A3A"/>
        <sz val="9.0"/>
      </rPr>
      <t>This would:</t>
    </r>
    <r>
      <rPr>
        <rFont val="Calibri"/>
        <color rgb="FF1E2A3A"/>
        <sz val="9.0"/>
      </rPr>
      <t xml:space="preserve">
- Reduce the amount of manual calling required
- Improve communication consistency
- Save time for the onboarding team
- Allow candidates to clearly understand what corrections are needed
</t>
    </r>
  </si>
  <si>
    <t>RT-28</t>
  </si>
  <si>
    <t>New Educator Dashboard</t>
  </si>
  <si>
    <t xml:space="preserve">
Develop a dashboard for active educators where they can easily view:
- Number of assigned shifts
- Accepted shifts
- Completed shifts
- Cancelled shifts
This would improve educator visibility, engagement, and accountability while reducing inbound enquiries regarding booking history and schedules.
</t>
  </si>
  <si>
    <t>RT-29</t>
  </si>
  <si>
    <t>New Reference Check Form</t>
  </si>
  <si>
    <t>Create a new reference check form</t>
  </si>
  <si>
    <t>RawTalent · Weekly Check-in (Mondays · 20–30 min)</t>
  </si>
  <si>
    <t>1. Dashboard review</t>
  </si>
  <si>
    <t>How many Blocked / At Risk? Any overdue? % complete trend vs last week?</t>
  </si>
  <si>
    <t>2. P1 walk-through</t>
  </si>
  <si>
    <t>Each P1 owner: 30-sec update — status, blocker, next action. Unblock live.</t>
  </si>
  <si>
    <t>3. SA fill-rate check</t>
  </si>
  <si>
    <t>Top centres (Royal Park, Brahma Lodge, Virginia) — are we trending to 90%?</t>
  </si>
  <si>
    <t>4. P2 spot check</t>
  </si>
  <si>
    <t>Anything not moved in 2 weeks? Keep / escalate / hold.</t>
  </si>
  <si>
    <t>5. New projects</t>
  </si>
  <si>
    <t>Log anything raised last week — assign owner, target date, metric TODAY.</t>
  </si>
  <si>
    <t>6. Wins</t>
  </si>
  <si>
    <t>Anything Complete this week? Acknowledge briefly.</t>
  </si>
  <si>
    <t>7. Close</t>
  </si>
  <si>
    <t>Everyone updates their rows in Initiatives before EOD Monday.</t>
  </si>
  <si>
    <t>RawTalent · How to Use This Tracker</t>
  </si>
  <si>
    <t>PURPOSE</t>
  </si>
  <si>
    <t>One source of truth for every initiative — who owns it, when it is due, how far along it is, and how we know it worked.</t>
  </si>
  <si>
    <t>OPENING IN GOOGLE SHEETS</t>
  </si>
  <si>
    <t>Upload this .xlsx to Google Drive, right-click &gt; Open with &gt; Google Sheets. Dropdowns, colours, formulas and charts all carry over.</t>
  </si>
  <si>
    <t>THE TABS</t>
  </si>
  <si>
    <t>Dashboard — live KPI cards + charts. Do not edit; it reads from Initiatives.</t>
  </si>
  <si>
    <t>Projects — the main tracker. Add one row per initiative. Update weekly.</t>
  </si>
  <si>
    <t>Weekly Check-in — run this agenda every Monday.</t>
  </si>
  <si>
    <t>How to Use — this page.</t>
  </si>
  <si>
    <t>FILLING IT IN</t>
  </si>
  <si>
    <t>Status, Priority, Category and Owner are dropdowns — just pick.</t>
  </si>
  <si>
    <t>Date Started + Target Date are dates (dd mmm yy). Days Open and Days to Due calculate automatically.</t>
  </si>
  <si>
    <t>% Complete: enter a decimal 0 to 1 (e.g. 0.4 for 40%). It shows as a percentage with a green fill bar.</t>
  </si>
  <si>
    <t>Every initiative needs a Success Metric — how we will know it actually worked.</t>
  </si>
  <si>
    <t>THE COLOUR LOGIC</t>
  </si>
  <si>
    <t>Status cells colour themselves: grey = Not Started, blue = In Progress, green = Complete, red = Blocked, amber = At Risk, purple = On Hold.</t>
  </si>
  <si>
    <t>Target Date turns red automatically if it is past due and the item is not Complete.</t>
  </si>
  <si>
    <t>Days to Due shades red (urgent) through to green (comfortable).</t>
  </si>
  <si>
    <t>GOLDEN RULE</t>
  </si>
  <si>
    <t>If it has no owner and no target date, it is not an initiative — it is a wish. Do not log it until both exist.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</si>
</sst>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 mmm\ yy"/>
  </numFmts>
  <fonts count="16">
    <font>
      <sz val="11.0"/>
      <color theme="1"/>
      <name val="Calibri"/>
      <scheme val="minor"/>
    </font>
    <font>
      <b/>
      <sz val="24.0"/>
      <color rgb="FF1E2A3A"/>
      <name val="Calibri"/>
    </font>
    <font>
      <i/>
      <sz val="11.0"/>
      <color rgb="FF3A6FF8"/>
      <name val="Calibri"/>
    </font>
    <font>
      <sz val="9.0"/>
      <color rgb="FF6B7280"/>
      <name val="Calibri"/>
    </font>
    <font>
      <b/>
      <sz val="9.0"/>
      <color rgb="FFFFFFFF"/>
      <name val="Calibri"/>
    </font>
    <font/>
    <font>
      <b/>
      <sz val="26.0"/>
      <color rgb="FF1E2A3A"/>
      <name val="Calibri"/>
    </font>
    <font>
      <b/>
      <sz val="11.0"/>
      <color rgb="FF1E2A3A"/>
      <name val="Calibri"/>
    </font>
    <font>
      <sz val="9.0"/>
      <color rgb="FF1E2A3A"/>
      <name val="Calibri"/>
    </font>
    <font>
      <b/>
      <sz val="18.0"/>
      <color rgb="FF1E2A3A"/>
      <name val="Calibri"/>
    </font>
    <font>
      <i/>
      <sz val="9.0"/>
      <color rgb="FF6B7280"/>
      <name val="Calibri"/>
    </font>
    <font>
      <b/>
      <sz val="10.0"/>
      <color rgb="FFFFFFFF"/>
      <name val="Calibri"/>
    </font>
    <font>
      <sz val="11.0"/>
      <color theme="1"/>
      <name val="Calibri"/>
    </font>
    <font>
      <color theme="1"/>
      <name val="Calibri"/>
      <scheme val="minor"/>
    </font>
    <font>
      <b/>
      <sz val="12.0"/>
      <color rgb="FF3A6FF8"/>
      <name val="Calibri"/>
    </font>
    <font>
      <sz val="10.0"/>
      <color rgb="FF1E2A3A"/>
      <name val="Calibri"/>
    </font>
  </fonts>
  <fills count="16">
    <fill>
      <patternFill patternType="none"/>
    </fill>
    <fill>
      <patternFill patternType="lightGray"/>
    </fill>
    <fill>
      <patternFill patternType="solid">
        <fgColor rgb="FF1E2A3A"/>
        <bgColor rgb="FF1E2A3A"/>
      </patternFill>
    </fill>
    <fill>
      <patternFill patternType="solid">
        <fgColor rgb="FF3A6FF8"/>
        <bgColor rgb="FF3A6FF8"/>
      </patternFill>
    </fill>
    <fill>
      <patternFill patternType="solid">
        <fgColor rgb="FF27AE60"/>
        <bgColor rgb="FF27AE60"/>
      </patternFill>
    </fill>
    <fill>
      <patternFill patternType="solid">
        <fgColor rgb="FFE14B4B"/>
        <bgColor rgb="FFE14B4B"/>
      </patternFill>
    </fill>
    <fill>
      <patternFill patternType="solid">
        <fgColor rgb="FFF2A93B"/>
        <bgColor rgb="FFF2A93B"/>
      </patternFill>
    </fill>
    <fill>
      <patternFill patternType="solid">
        <fgColor rgb="FFE8ECFB"/>
        <bgColor rgb="FFE8ECFB"/>
      </patternFill>
    </fill>
    <fill>
      <patternFill patternType="solid">
        <fgColor rgb="FFE2E4EA"/>
        <bgColor rgb="FFE2E4EA"/>
      </patternFill>
    </fill>
    <fill>
      <patternFill patternType="solid">
        <fgColor rgb="FFCFE0FF"/>
        <bgColor rgb="FFCFE0FF"/>
      </patternFill>
    </fill>
    <fill>
      <patternFill patternType="solid">
        <fgColor rgb="FFF9D4D4"/>
        <bgColor rgb="FFF9D4D4"/>
      </patternFill>
    </fill>
    <fill>
      <patternFill patternType="solid">
        <fgColor rgb="FFFCE3C2"/>
        <bgColor rgb="FFFCE3C2"/>
      </patternFill>
    </fill>
    <fill>
      <patternFill patternType="solid">
        <fgColor rgb="FFCDEFD8"/>
        <bgColor rgb="FFCDEFD8"/>
      </patternFill>
    </fill>
    <fill>
      <patternFill patternType="solid">
        <fgColor rgb="FFE6E0F2"/>
        <bgColor rgb="FFE6E0F2"/>
      </patternFill>
    </fill>
    <fill>
      <patternFill patternType="solid">
        <fgColor rgb="FFF4F6FE"/>
        <bgColor rgb="FFF4F6FE"/>
      </patternFill>
    </fill>
    <fill>
      <patternFill patternType="solid">
        <fgColor rgb="FFFFFFFF"/>
        <bgColor rgb="FFFFFFFF"/>
      </patternFill>
    </fill>
  </fills>
  <borders count="11">
    <border/>
    <border>
      <left style="thin">
        <color rgb="FFD5D9E3"/>
      </left>
      <top style="thin">
        <color rgb="FFD5D9E3"/>
      </top>
      <bottom style="thin">
        <color rgb="FFD5D9E3"/>
      </bottom>
    </border>
    <border>
      <right style="thin">
        <color rgb="FFD5D9E3"/>
      </right>
      <top style="thin">
        <color rgb="FFD5D9E3"/>
      </top>
      <bottom style="thin">
        <color rgb="FFD5D9E3"/>
      </bottom>
    </border>
    <border>
      <left style="thin">
        <color rgb="FFD5D9E3"/>
      </left>
      <top style="thin">
        <color rgb="FFD5D9E3"/>
      </top>
    </border>
    <border>
      <right style="thin">
        <color rgb="FFD5D9E3"/>
      </right>
      <top style="thin">
        <color rgb="FFD5D9E3"/>
      </top>
    </border>
    <border>
      <left style="thin">
        <color rgb="FFD5D9E3"/>
      </left>
      <bottom style="thin">
        <color rgb="FFD5D9E3"/>
      </bottom>
    </border>
    <border>
      <right style="thin">
        <color rgb="FFD5D9E3"/>
      </right>
      <bottom style="thin">
        <color rgb="FFD5D9E3"/>
      </bottom>
    </border>
    <border>
      <left style="thin">
        <color rgb="FFD5D9E3"/>
      </left>
      <right style="thin">
        <color rgb="FFD5D9E3"/>
      </right>
      <top style="thin">
        <color rgb="FFD5D9E3"/>
      </top>
      <bottom style="thin">
        <color rgb="FFD5D9E3"/>
      </bottom>
    </border>
    <border>
      <left/>
      <top/>
      <bottom/>
    </border>
    <border>
      <top/>
      <bottom/>
    </border>
    <border>
      <right/>
      <top/>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horizontal="center" readingOrder="0" shrinkToFit="0" vertical="center" wrapText="1"/>
    </xf>
    <xf borderId="2" fillId="0" fontId="5" numFmtId="0" xfId="0" applyBorder="1" applyFont="1"/>
    <xf borderId="1" fillId="3" fontId="4"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1" fillId="5" fontId="4" numFmtId="0" xfId="0" applyAlignment="1" applyBorder="1" applyFill="1" applyFont="1">
      <alignment horizontal="center" shrinkToFit="0" vertical="center" wrapText="1"/>
    </xf>
    <xf borderId="1" fillId="6" fontId="4" numFmtId="0" xfId="0" applyAlignment="1" applyBorder="1" applyFill="1" applyFont="1">
      <alignment horizontal="center" shrinkToFit="0" vertical="center" wrapText="1"/>
    </xf>
    <xf borderId="3" fillId="7" fontId="6" numFmtId="1" xfId="0" applyAlignment="1" applyBorder="1" applyFill="1" applyFont="1" applyNumberFormat="1">
      <alignment horizontal="center" shrinkToFit="0" vertical="center" wrapText="0"/>
    </xf>
    <xf borderId="4" fillId="0" fontId="5" numFmtId="0" xfId="0" applyBorder="1" applyFont="1"/>
    <xf borderId="3" fillId="7" fontId="6" numFmtId="9" xfId="0" applyAlignment="1" applyBorder="1" applyFont="1" applyNumberFormat="1">
      <alignment horizontal="center" shrinkToFit="0" vertical="center" wrapText="0"/>
    </xf>
    <xf borderId="5" fillId="0" fontId="5" numFmtId="0" xfId="0" applyBorder="1" applyFont="1"/>
    <xf borderId="6" fillId="0" fontId="5" numFmtId="0" xfId="0" applyBorder="1" applyFont="1"/>
    <xf borderId="0" fillId="0" fontId="7" numFmtId="0" xfId="0" applyAlignment="1" applyFont="1">
      <alignment shrinkToFit="0" vertical="bottom" wrapText="0"/>
    </xf>
    <xf borderId="7" fillId="3" fontId="4" numFmtId="0" xfId="0" applyAlignment="1" applyBorder="1" applyFont="1">
      <alignment horizontal="center" shrinkToFit="0" vertical="center" wrapText="1"/>
    </xf>
    <xf borderId="7" fillId="8" fontId="8" numFmtId="0" xfId="0" applyAlignment="1" applyBorder="1" applyFill="1" applyFont="1">
      <alignment horizontal="left" shrinkToFit="0" vertical="center" wrapText="1"/>
    </xf>
    <xf borderId="7" fillId="0" fontId="8" numFmtId="0" xfId="0" applyAlignment="1" applyBorder="1" applyFont="1">
      <alignment horizontal="center" shrinkToFit="0" vertical="center" wrapText="1"/>
    </xf>
    <xf borderId="7" fillId="9" fontId="8" numFmtId="0" xfId="0" applyAlignment="1" applyBorder="1" applyFill="1" applyFont="1">
      <alignment horizontal="left" shrinkToFit="0" vertical="center" wrapText="1"/>
    </xf>
    <xf borderId="7" fillId="10" fontId="8" numFmtId="0" xfId="0" applyAlignment="1" applyBorder="1" applyFill="1" applyFont="1">
      <alignment horizontal="left" shrinkToFit="0" vertical="center" wrapText="1"/>
    </xf>
    <xf borderId="7" fillId="11" fontId="8" numFmtId="0" xfId="0" applyAlignment="1" applyBorder="1" applyFill="1" applyFont="1">
      <alignment horizontal="left" shrinkToFit="0" vertical="center" wrapText="1"/>
    </xf>
    <xf borderId="7" fillId="12" fontId="8" numFmtId="0" xfId="0" applyAlignment="1" applyBorder="1" applyFill="1" applyFont="1">
      <alignment horizontal="left" shrinkToFit="0" vertical="center" wrapText="1"/>
    </xf>
    <xf borderId="7" fillId="13" fontId="8" numFmtId="0" xfId="0" applyAlignment="1" applyBorder="1" applyFill="1" applyFont="1">
      <alignment horizontal="left" shrinkToFit="0" vertical="center" wrapText="1"/>
    </xf>
    <xf borderId="7" fillId="0" fontId="8" numFmtId="0" xfId="0" applyAlignment="1" applyBorder="1" applyFont="1">
      <alignment horizontal="left" shrinkToFit="0" vertical="center" wrapText="1"/>
    </xf>
    <xf borderId="0" fillId="0" fontId="9" numFmtId="0" xfId="0" applyAlignment="1" applyFont="1">
      <alignment readingOrder="0" shrinkToFit="0" vertical="bottom" wrapText="0"/>
    </xf>
    <xf borderId="0" fillId="0" fontId="10" numFmtId="0" xfId="0" applyAlignment="1" applyFont="1">
      <alignment shrinkToFit="0" vertical="bottom" wrapText="0"/>
    </xf>
    <xf borderId="7" fillId="2" fontId="11" numFmtId="0" xfId="0" applyAlignment="1" applyBorder="1" applyFont="1">
      <alignment horizontal="center" shrinkToFit="0" vertical="center" wrapText="1"/>
    </xf>
    <xf borderId="7" fillId="2" fontId="11" numFmtId="0" xfId="0" applyAlignment="1" applyBorder="1" applyFont="1">
      <alignment horizontal="center" readingOrder="0" shrinkToFit="0" vertical="center" wrapText="1"/>
    </xf>
    <xf borderId="7" fillId="0" fontId="8" numFmtId="0" xfId="0" applyAlignment="1" applyBorder="1" applyFont="1">
      <alignment horizontal="center" shrinkToFit="0" vertical="center" wrapText="1"/>
    </xf>
    <xf borderId="7" fillId="0" fontId="8" numFmtId="0" xfId="0" applyAlignment="1" applyBorder="1" applyFont="1">
      <alignment horizontal="left" shrinkToFit="0" vertical="center" wrapText="1"/>
    </xf>
    <xf borderId="7" fillId="0" fontId="8" numFmtId="0" xfId="0" applyAlignment="1" applyBorder="1" applyFont="1">
      <alignment horizontal="left" readingOrder="0" shrinkToFit="0" vertical="center" wrapText="1"/>
    </xf>
    <xf borderId="7" fillId="0" fontId="8" numFmtId="164" xfId="0" applyAlignment="1" applyBorder="1" applyFont="1" applyNumberFormat="1">
      <alignment horizontal="center" shrinkToFit="0" vertical="center" wrapText="1"/>
    </xf>
    <xf borderId="7" fillId="0" fontId="8" numFmtId="9" xfId="0" applyAlignment="1" applyBorder="1" applyFont="1" applyNumberFormat="1">
      <alignment horizontal="center" shrinkToFit="0" vertical="center" wrapText="1"/>
    </xf>
    <xf borderId="7" fillId="14" fontId="8" numFmtId="0" xfId="0" applyAlignment="1" applyBorder="1" applyFill="1" applyFont="1">
      <alignment horizontal="center" shrinkToFit="0" vertical="center" wrapText="1"/>
    </xf>
    <xf borderId="7" fillId="14" fontId="8" numFmtId="0" xfId="0" applyAlignment="1" applyBorder="1" applyFont="1">
      <alignment horizontal="left" shrinkToFit="0" vertical="center" wrapText="1"/>
    </xf>
    <xf borderId="7" fillId="14" fontId="8" numFmtId="164" xfId="0" applyAlignment="1" applyBorder="1" applyFont="1" applyNumberFormat="1">
      <alignment horizontal="center" shrinkToFit="0" vertical="center" wrapText="1"/>
    </xf>
    <xf borderId="7" fillId="14" fontId="8" numFmtId="0" xfId="0" applyAlignment="1" applyBorder="1" applyFont="1">
      <alignment horizontal="center" readingOrder="0" shrinkToFit="0" vertical="center" wrapText="1"/>
    </xf>
    <xf borderId="7" fillId="14" fontId="8" numFmtId="0" xfId="0" applyAlignment="1" applyBorder="1" applyFont="1">
      <alignment horizontal="left" readingOrder="0" shrinkToFit="0" vertical="center" wrapText="1"/>
    </xf>
    <xf borderId="7" fillId="0" fontId="8" numFmtId="0" xfId="0" applyAlignment="1" applyBorder="1" applyFont="1">
      <alignment horizontal="center" readingOrder="0" shrinkToFit="0" vertical="center" wrapText="1"/>
    </xf>
    <xf borderId="7" fillId="14" fontId="8" numFmtId="164" xfId="0" applyAlignment="1" applyBorder="1" applyFont="1" applyNumberFormat="1">
      <alignment horizontal="center" readingOrder="0" shrinkToFit="0" vertical="center" wrapText="1"/>
    </xf>
    <xf borderId="7" fillId="14" fontId="8" numFmtId="9" xfId="0" applyAlignment="1" applyBorder="1" applyFont="1" applyNumberFormat="1">
      <alignment horizontal="center" shrinkToFit="0" vertical="center" wrapText="1"/>
    </xf>
    <xf borderId="7" fillId="0" fontId="8" numFmtId="164" xfId="0" applyAlignment="1" applyBorder="1" applyFont="1" applyNumberFormat="1">
      <alignment horizontal="center" readingOrder="0" shrinkToFit="0" vertical="center" wrapText="1"/>
    </xf>
    <xf borderId="0" fillId="0" fontId="12" numFmtId="0" xfId="0" applyAlignment="1" applyFont="1">
      <alignment vertical="bottom"/>
    </xf>
    <xf borderId="7" fillId="14" fontId="12" numFmtId="0" xfId="0" applyBorder="1" applyFont="1"/>
    <xf borderId="7" fillId="14" fontId="12" numFmtId="164" xfId="0" applyBorder="1" applyFont="1" applyNumberFormat="1"/>
    <xf borderId="7" fillId="14" fontId="12" numFmtId="9" xfId="0" applyBorder="1" applyFont="1" applyNumberFormat="1"/>
    <xf borderId="7" fillId="15" fontId="12" numFmtId="0" xfId="0" applyBorder="1" applyFill="1" applyFont="1"/>
    <xf borderId="7" fillId="15" fontId="12" numFmtId="164" xfId="0" applyBorder="1" applyFont="1" applyNumberFormat="1"/>
    <xf borderId="7" fillId="15" fontId="12" numFmtId="9" xfId="0" applyBorder="1" applyFont="1" applyNumberFormat="1"/>
    <xf borderId="0" fillId="0" fontId="12" numFmtId="0" xfId="0" applyAlignment="1" applyFont="1">
      <alignment readingOrder="0" vertical="bottom"/>
    </xf>
    <xf borderId="0" fillId="0" fontId="13" numFmtId="0" xfId="0" applyFont="1"/>
    <xf borderId="0" fillId="0" fontId="9" numFmtId="0" xfId="0" applyAlignment="1" applyFont="1">
      <alignment shrinkToFit="0" vertical="bottom" wrapText="0"/>
    </xf>
    <xf borderId="8" fillId="7" fontId="14" numFmtId="0" xfId="0" applyAlignment="1" applyBorder="1" applyFont="1">
      <alignment shrinkToFit="0" vertical="bottom" wrapText="0"/>
    </xf>
    <xf borderId="9" fillId="0" fontId="5" numFmtId="0" xfId="0" applyBorder="1" applyFont="1"/>
    <xf borderId="10" fillId="0" fontId="5" numFmtId="0" xfId="0" applyBorder="1" applyFont="1"/>
    <xf borderId="0" fillId="0" fontId="15" numFmtId="0" xfId="0" applyAlignment="1" applyFont="1">
      <alignment shrinkToFit="0" vertical="center" wrapText="1"/>
    </xf>
    <xf borderId="8" fillId="7" fontId="14" numFmtId="0" xfId="0" applyAlignment="1" applyBorder="1" applyFont="1">
      <alignment readingOrder="0" shrinkToFit="0" vertical="bottom" wrapText="0"/>
    </xf>
    <xf borderId="0" fillId="0" fontId="14" numFmtId="0" xfId="0" applyAlignment="1" applyFont="1">
      <alignment shrinkToFit="0" vertical="center" wrapText="1"/>
    </xf>
    <xf borderId="0" fillId="0" fontId="15" numFmtId="0" xfId="0" applyAlignment="1" applyFont="1">
      <alignment readingOrder="0" shrinkToFit="0" vertical="center" wrapText="1"/>
    </xf>
  </cellXfs>
  <cellStyles count="1">
    <cellStyle xfId="0" name="Normal" builtinId="0"/>
  </cellStyles>
  <dxfs count="10">
    <dxf>
      <font/>
      <fill>
        <patternFill patternType="none"/>
      </fill>
      <border/>
    </dxf>
    <dxf>
      <font/>
      <fill>
        <patternFill patternType="solid">
          <fgColor rgb="FFFFFFFF"/>
          <bgColor rgb="FFFFFFFF"/>
        </patternFill>
      </fill>
      <border/>
    </dxf>
    <dxf>
      <font/>
      <fill>
        <patternFill patternType="solid">
          <fgColor rgb="FFF4F6FE"/>
          <bgColor rgb="FFF4F6FE"/>
        </patternFill>
      </fill>
      <border/>
    </dxf>
    <dxf>
      <font>
        <b/>
        <sz val="9.0"/>
        <color rgb="FF1E2A3A"/>
        <name val="Calibri"/>
      </font>
      <fill>
        <patternFill patternType="solid">
          <fgColor rgb="FFE2E4EA"/>
          <bgColor rgb="FFE2E4EA"/>
        </patternFill>
      </fill>
      <border/>
    </dxf>
    <dxf>
      <font>
        <b/>
        <sz val="9.0"/>
        <color rgb="FF1E2A3A"/>
        <name val="Calibri"/>
      </font>
      <fill>
        <patternFill patternType="solid">
          <fgColor rgb="FFCFE0FF"/>
          <bgColor rgb="FFCFE0FF"/>
        </patternFill>
      </fill>
      <border/>
    </dxf>
    <dxf>
      <font>
        <b/>
        <sz val="9.0"/>
        <color rgb="FF1E2A3A"/>
        <name val="Calibri"/>
      </font>
      <fill>
        <patternFill patternType="solid">
          <fgColor rgb="FFF9D4D4"/>
          <bgColor rgb="FFF9D4D4"/>
        </patternFill>
      </fill>
      <border/>
    </dxf>
    <dxf>
      <font>
        <b/>
        <sz val="9.0"/>
        <color rgb="FF1E2A3A"/>
        <name val="Calibri"/>
      </font>
      <fill>
        <patternFill patternType="solid">
          <fgColor rgb="FFFCE3C2"/>
          <bgColor rgb="FFFCE3C2"/>
        </patternFill>
      </fill>
      <border/>
    </dxf>
    <dxf>
      <font>
        <b/>
        <sz val="9.0"/>
        <color rgb="FF1E2A3A"/>
        <name val="Calibri"/>
      </font>
      <fill>
        <patternFill patternType="solid">
          <fgColor rgb="FFCDEFD8"/>
          <bgColor rgb="FFCDEFD8"/>
        </patternFill>
      </fill>
      <border/>
    </dxf>
    <dxf>
      <font>
        <b/>
        <sz val="9.0"/>
        <color rgb="FF1E2A3A"/>
        <name val="Calibri"/>
      </font>
      <fill>
        <patternFill patternType="solid">
          <fgColor rgb="FFE6E0F2"/>
          <bgColor rgb="FFE6E0F2"/>
        </patternFill>
      </fill>
      <border/>
    </dxf>
    <dxf>
      <font>
        <b/>
        <color rgb="FF9C1F1F"/>
      </font>
      <fill>
        <patternFill patternType="solid">
          <fgColor rgb="FFF9D4D4"/>
          <bgColor rgb="FFF9D4D4"/>
        </patternFill>
      </fill>
      <border/>
    </dxf>
  </dxfs>
  <tableStyles count="5">
    <tableStyle count="2" pivot="0" name="Project-style">
      <tableStyleElement dxfId="1" type="firstRowStripe"/>
      <tableStyleElement dxfId="2" type="secondRowStripe"/>
    </tableStyle>
    <tableStyle count="2" pivot="0" name="Project-style 2">
      <tableStyleElement dxfId="2" type="firstRowStripe"/>
      <tableStyleElement dxfId="1" type="secondRowStripe"/>
    </tableStyle>
    <tableStyle count="2" pivot="0" name="Project-style 3">
      <tableStyleElement dxfId="2" type="firstRowStripe"/>
      <tableStyleElement dxfId="1" type="secondRowStripe"/>
    </tableStyle>
    <tableStyle count="2" pivot="0" name="Project-style 4">
      <tableStyleElement dxfId="2" type="firstRowStripe"/>
      <tableStyleElement dxfId="1" type="secondRowStripe"/>
    </tableStyle>
    <tableStyle count="2" pivot="0" name="Project-style 5">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Projects by Status</a:t>
            </a:r>
          </a:p>
        </c:rich>
      </c:tx>
      <c:overlay val="0"/>
    </c:title>
    <c:plotArea>
      <c:layout/>
      <c:doughnutChart>
        <c:varyColors val="1"/>
        <c:ser>
          <c:idx val="0"/>
          <c:order val="0"/>
          <c:tx>
            <c:strRef>
              <c:f>Dashboard!$C$12</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Lbls>
            <c:dLbl>
              <c:idx val="0"/>
              <c:txPr>
                <a:bodyPr/>
                <a:lstStyle/>
                <a:p>
                  <a:pPr lvl="0">
                    <a:defRPr b="0" i="0" sz="1000">
                      <a:latin typeface="Arial"/>
                    </a:defRPr>
                  </a:pPr>
                </a:p>
              </c:txPr>
              <c:showLegendKey val="0"/>
              <c:showVal val="0"/>
              <c:showCatName val="0"/>
              <c:showSerName val="0"/>
              <c:showPercent val="0"/>
              <c:showBubbleSize val="0"/>
            </c:dLbl>
            <c:dLbl>
              <c:idx val="1"/>
              <c:txPr>
                <a:bodyPr/>
                <a:lstStyle/>
                <a:p>
                  <a:pPr lvl="0">
                    <a:defRPr b="0" i="0" sz="1000">
                      <a:latin typeface="Arial"/>
                    </a:defRPr>
                  </a:pPr>
                </a:p>
              </c:txPr>
              <c:showLegendKey val="0"/>
              <c:showVal val="0"/>
              <c:showCatName val="0"/>
              <c:showSerName val="0"/>
              <c:showPercent val="0"/>
              <c:showBubbleSize val="0"/>
            </c:dLbl>
            <c:dLbl>
              <c:idx val="2"/>
              <c:txPr>
                <a:bodyPr/>
                <a:lstStyle/>
                <a:p>
                  <a:pPr lvl="0">
                    <a:defRPr b="0" i="0" sz="1000">
                      <a:latin typeface="Arial"/>
                    </a:defRPr>
                  </a:pPr>
                </a:p>
              </c:txPr>
              <c:showLegendKey val="0"/>
              <c:showVal val="0"/>
              <c:showCatName val="0"/>
              <c:showSerName val="0"/>
              <c:showPercent val="0"/>
              <c:showBubbleSize val="0"/>
            </c:dLbl>
            <c:dLbl>
              <c:idx val="3"/>
              <c:txPr>
                <a:bodyPr/>
                <a:lstStyle/>
                <a:p>
                  <a:pPr lvl="0">
                    <a:defRPr b="0" i="0" sz="1000">
                      <a:latin typeface="Arial"/>
                    </a:defRPr>
                  </a:pPr>
                </a:p>
              </c:txPr>
              <c:showLegendKey val="0"/>
              <c:showVal val="0"/>
              <c:showCatName val="0"/>
              <c:showSerName val="0"/>
              <c:showPercent val="0"/>
              <c:showBubbleSize val="0"/>
            </c:dLbl>
            <c:dLbl>
              <c:idx val="4"/>
              <c:txPr>
                <a:bodyPr/>
                <a:lstStyle/>
                <a:p>
                  <a:pPr lvl="0">
                    <a:defRPr b="0" i="0" sz="1000">
                      <a:latin typeface="Arial"/>
                    </a:defRPr>
                  </a:pPr>
                </a:p>
              </c:txPr>
              <c:showLegendKey val="0"/>
              <c:showVal val="0"/>
              <c:showCatName val="0"/>
              <c:showSerName val="0"/>
              <c:showPercent val="0"/>
              <c:showBubbleSize val="0"/>
            </c:dLbl>
            <c:dLbl>
              <c:idx val="5"/>
              <c:txPr>
                <a:bodyPr/>
                <a:lstStyle/>
                <a:p>
                  <a:pPr lvl="0">
                    <a:defRPr b="0" i="0" sz="1000">
                      <a:latin typeface="Arial"/>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Dashboard!$B$13:$B$18</c:f>
            </c:strRef>
          </c:cat>
          <c:val>
            <c:numRef>
              <c:f>Dashboard!$C$13:$C$18</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Open Items by Owner</a:t>
            </a:r>
          </a:p>
        </c:rich>
      </c:tx>
      <c:overlay val="0"/>
    </c:title>
    <c:plotArea>
      <c:layout/>
      <c:barChart>
        <c:barDir val="bar"/>
        <c:ser>
          <c:idx val="0"/>
          <c:order val="0"/>
          <c:tx>
            <c:v>Open Items</c:v>
          </c:tx>
          <c:spPr>
            <a:solidFill>
              <a:srgbClr val="4F81BD"/>
            </a:solidFill>
            <a:ln cmpd="sng">
              <a:solidFill>
                <a:srgbClr val="000000"/>
              </a:solidFill>
            </a:ln>
          </c:spPr>
          <c:cat>
            <c:strRef>
              <c:f>Dashboard!$B$23:$B$29</c:f>
            </c:strRef>
          </c:cat>
          <c:val>
            <c:numRef>
              <c:f>Dashboard!$C$23:$C$29</c:f>
              <c:numCache/>
            </c:numRef>
          </c:val>
        </c:ser>
        <c:axId val="418078363"/>
        <c:axId val="939114306"/>
      </c:barChart>
      <c:catAx>
        <c:axId val="41807836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000000"/>
                </a:solidFill>
                <a:latin typeface="Calibri"/>
              </a:defRPr>
            </a:pPr>
          </a:p>
        </c:txPr>
        <c:crossAx val="939114306"/>
      </c:catAx>
      <c:valAx>
        <c:axId val="939114306"/>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000">
                <a:solidFill>
                  <a:srgbClr val="000000"/>
                </a:solidFill>
                <a:latin typeface="Calibri"/>
              </a:defRPr>
            </a:pPr>
          </a:p>
        </c:txPr>
        <c:crossAx val="418078363"/>
        <c:crosses val="max"/>
      </c:valAx>
    </c:plotArea>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10</xdr:row>
      <xdr:rowOff>0</xdr:rowOff>
    </xdr:from>
    <xdr:ext cx="3743325" cy="28289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20</xdr:row>
      <xdr:rowOff>0</xdr:rowOff>
    </xdr:from>
    <xdr:ext cx="3743325" cy="301942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5:R55" displayName="Table_1" name="Table_1" id="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Project-style" showColumnStripes="0" showFirstColumn="1" showLastColumn="1" showRowStripes="1"/>
</table>
</file>

<file path=xl/tables/table2.xml><?xml version="1.0" encoding="utf-8"?>
<table xmlns="http://schemas.openxmlformats.org/spreadsheetml/2006/main" headerRowCount="0" ref="B56:R72" displayName="Table_2" name="Table_2" id="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Project-style 2" showColumnStripes="0" showFirstColumn="1" showLastColumn="1" showRowStripes="1"/>
</table>
</file>

<file path=xl/tables/table3.xml><?xml version="1.0" encoding="utf-8"?>
<table xmlns="http://schemas.openxmlformats.org/spreadsheetml/2006/main" headerRowCount="0" ref="B73:R89" displayName="Table_3" name="Table_3" id="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Project-style 3" showColumnStripes="0" showFirstColumn="1" showLastColumn="1" showRowStripes="1"/>
</table>
</file>

<file path=xl/tables/table4.xml><?xml version="1.0" encoding="utf-8"?>
<table xmlns="http://schemas.openxmlformats.org/spreadsheetml/2006/main" headerRowCount="0" ref="B90:R106" displayName="Table_4" name="Table_4" id="4">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Project-style 4" showColumnStripes="0" showFirstColumn="1" showLastColumn="1" showRowStripes="1"/>
</table>
</file>

<file path=xl/tables/table5.xml><?xml version="1.0" encoding="utf-8"?>
<table xmlns="http://schemas.openxmlformats.org/spreadsheetml/2006/main" headerRowCount="0" ref="B107:R123" displayName="Table_5" name="Table_5" id="5">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Project-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A6FF8"/>
    <pageSetUpPr/>
  </sheetPr>
  <sheetViews>
    <sheetView showGridLines="0" workbookViewId="0"/>
  </sheetViews>
  <sheetFormatPr customHeight="1" defaultColWidth="14.43" defaultRowHeight="15.0"/>
  <cols>
    <col customWidth="1" min="1" max="1" width="2.0"/>
    <col customWidth="1" min="2" max="2" width="22.0"/>
    <col customWidth="1" min="3" max="4" width="12.0"/>
    <col customWidth="1" min="5" max="11" width="14.0"/>
    <col customWidth="1" min="12" max="26" width="8.71"/>
  </cols>
  <sheetData>
    <row r="2" ht="37.5" customHeight="1">
      <c r="B2" s="1" t="s">
        <v>0</v>
      </c>
    </row>
    <row r="3" ht="19.5" customHeight="1">
      <c r="B3" s="2" t="s">
        <v>1</v>
      </c>
    </row>
    <row r="4">
      <c r="B4" s="3" t="s">
        <v>2</v>
      </c>
    </row>
    <row r="6" ht="25.5" customHeight="1">
      <c r="B6" s="4" t="s">
        <v>3</v>
      </c>
      <c r="C6" s="5"/>
      <c r="D6" s="6" t="s">
        <v>4</v>
      </c>
      <c r="E6" s="5"/>
      <c r="F6" s="7" t="s">
        <v>5</v>
      </c>
      <c r="G6" s="5"/>
      <c r="H6" s="8" t="s">
        <v>6</v>
      </c>
      <c r="I6" s="5"/>
      <c r="J6" s="9" t="s">
        <v>7</v>
      </c>
      <c r="K6" s="5"/>
    </row>
    <row r="7" ht="21.75" customHeight="1">
      <c r="B7" s="10">
        <f>COUNTA(Project!B5:B201)</f>
        <v>29</v>
      </c>
      <c r="C7" s="11"/>
      <c r="D7" s="10">
        <f>COUNTIF(Project!G5:G201,"In Progress")</f>
        <v>8</v>
      </c>
      <c r="E7" s="11"/>
      <c r="F7" s="10">
        <f>COUNTIF(Project!G5:G201,"Complete")</f>
        <v>0</v>
      </c>
      <c r="G7" s="11"/>
      <c r="H7" s="10">
        <f>COUNTIF(Project!G5:G201,"Blocked")+COUNTIF(Project!G5:G201,"At Risk")</f>
        <v>0</v>
      </c>
      <c r="I7" s="11"/>
      <c r="J7" s="12">
        <f>IFERROR(COUNTIF(Project!G5:G201,"Complete")/COUNTA(Project!B5:B201),0)</f>
        <v>0</v>
      </c>
      <c r="K7" s="11"/>
    </row>
    <row r="8" ht="21.75" customHeight="1">
      <c r="B8" s="13"/>
      <c r="C8" s="14"/>
      <c r="D8" s="13"/>
      <c r="E8" s="14"/>
      <c r="F8" s="13"/>
      <c r="G8" s="14"/>
      <c r="H8" s="13"/>
      <c r="I8" s="14"/>
      <c r="J8" s="13"/>
      <c r="K8" s="14"/>
    </row>
    <row r="11">
      <c r="B11" s="15" t="s">
        <v>8</v>
      </c>
    </row>
    <row r="12">
      <c r="B12" s="16" t="s">
        <v>9</v>
      </c>
      <c r="C12" s="16" t="s">
        <v>10</v>
      </c>
    </row>
    <row r="13">
      <c r="B13" s="17" t="s">
        <v>11</v>
      </c>
      <c r="C13" s="18">
        <f>COUNTIF(Project!G5:G201,"Not Started")</f>
        <v>21</v>
      </c>
    </row>
    <row r="14">
      <c r="B14" s="19" t="s">
        <v>12</v>
      </c>
      <c r="C14" s="18">
        <f>COUNTIF(Project!G5:G201,"In Progress")</f>
        <v>8</v>
      </c>
    </row>
    <row r="15">
      <c r="B15" s="20" t="s">
        <v>13</v>
      </c>
      <c r="C15" s="18">
        <f>COUNTIF(Project!G5:G201,"Blocked")</f>
        <v>0</v>
      </c>
    </row>
    <row r="16">
      <c r="B16" s="21" t="s">
        <v>14</v>
      </c>
      <c r="C16" s="18">
        <f>COUNTIF(Project!G5:G201,"At Risk")</f>
        <v>0</v>
      </c>
    </row>
    <row r="17">
      <c r="B17" s="22" t="s">
        <v>15</v>
      </c>
      <c r="C17" s="18">
        <f>COUNTIF(Project!G5:G201,"Complete")</f>
        <v>0</v>
      </c>
    </row>
    <row r="18">
      <c r="B18" s="23" t="s">
        <v>16</v>
      </c>
      <c r="C18" s="18">
        <f>COUNTIF(Project!G5:G201,"On Hold")</f>
        <v>0</v>
      </c>
    </row>
    <row r="21" ht="15.75" customHeight="1">
      <c r="B21" s="15" t="s">
        <v>17</v>
      </c>
    </row>
    <row r="22" ht="15.75" customHeight="1">
      <c r="B22" s="16" t="s">
        <v>18</v>
      </c>
      <c r="C22" s="16" t="s">
        <v>19</v>
      </c>
    </row>
    <row r="23" ht="15.75" customHeight="1">
      <c r="B23" s="24" t="s">
        <v>20</v>
      </c>
      <c r="C23" s="18">
        <f>COUNTIFS(Project!F5:F201,"*Liam*",Project!G5:G201,"&lt;&gt;Complete")</f>
        <v>5</v>
      </c>
    </row>
    <row r="24" ht="15.75" customHeight="1">
      <c r="B24" s="24" t="s">
        <v>21</v>
      </c>
      <c r="C24" s="18">
        <f>COUNTIFS(Project!F5:F201,"*Jane*",Project!G5:G201,"&lt;&gt;Complete")</f>
        <v>4</v>
      </c>
    </row>
    <row r="25" ht="15.75" customHeight="1">
      <c r="B25" s="24" t="s">
        <v>22</v>
      </c>
      <c r="C25" s="18">
        <f>COUNTIFS(Project!F5:F201,"*Adrian*",Project!G5:G201,"&lt;&gt;Complete")</f>
        <v>0</v>
      </c>
    </row>
    <row r="26" ht="15.75" customHeight="1">
      <c r="B26" s="24" t="s">
        <v>23</v>
      </c>
      <c r="C26" s="18">
        <f>COUNTIFS(Project!F5:F201,"*Lorie*",Project!G5:G201,"&lt;&gt;Complete")</f>
        <v>2</v>
      </c>
    </row>
    <row r="27" ht="15.75" customHeight="1">
      <c r="B27" s="24" t="s">
        <v>24</v>
      </c>
      <c r="C27" s="18">
        <f>COUNTIFS(Project!F5:F201,"*Sophia*",Project!G5:G201,"&lt;&gt;Complete")</f>
        <v>10</v>
      </c>
    </row>
    <row r="28" ht="15.75" customHeight="1">
      <c r="B28" s="24" t="s">
        <v>25</v>
      </c>
      <c r="C28" s="18">
        <f>COUNTIFS(Project!F5:F201,"*Joy*",Project!G5:G201,"&lt;&gt;Complete")</f>
        <v>11</v>
      </c>
    </row>
    <row r="29" ht="15.75" customHeight="1">
      <c r="B29" s="24" t="s">
        <v>26</v>
      </c>
      <c r="C29" s="18">
        <f>COUNTIFS(Project!F5:F201,"*Raj/Prince*",Project!G5:G201,"&lt;&gt;Complete")</f>
        <v>2</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6:C6"/>
    <mergeCell ref="B7:C8"/>
    <mergeCell ref="D7:E8"/>
    <mergeCell ref="F7:G8"/>
    <mergeCell ref="H7:I8"/>
    <mergeCell ref="J7:K8"/>
    <mergeCell ref="B11:C11"/>
    <mergeCell ref="B21:C21"/>
    <mergeCell ref="B2:K2"/>
    <mergeCell ref="B3:K3"/>
    <mergeCell ref="B4:K4"/>
    <mergeCell ref="D6:E6"/>
    <mergeCell ref="F6:G6"/>
    <mergeCell ref="H6:I6"/>
    <mergeCell ref="J6:K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2A3A"/>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2.0"/>
    <col customWidth="1" min="2" max="2" width="6.0"/>
    <col customWidth="1" min="3" max="3" width="30.0"/>
    <col customWidth="1" min="4" max="4" width="40.0"/>
    <col customWidth="1" min="5" max="5" width="16.0"/>
    <col customWidth="1" min="6" max="6" width="14.0"/>
    <col customWidth="1" min="7" max="7" width="13.0"/>
    <col customWidth="1" min="8" max="8" width="9.0"/>
    <col customWidth="1" min="9" max="10" width="13.0"/>
    <col customWidth="1" min="11" max="11" width="10.0"/>
    <col customWidth="1" min="12" max="13" width="11.0"/>
    <col customWidth="1" min="14" max="14" width="34.0"/>
    <col customWidth="1" min="15" max="15" width="20.0"/>
    <col customWidth="1" min="16" max="16" width="26.0"/>
    <col customWidth="1" min="17" max="17" width="30.0"/>
    <col customWidth="1" min="18" max="18" width="13.0"/>
    <col customWidth="1" min="19" max="26" width="8.71"/>
  </cols>
  <sheetData>
    <row r="2" ht="30.0" customHeight="1">
      <c r="B2" s="25" t="s">
        <v>27</v>
      </c>
    </row>
    <row r="3">
      <c r="B3" s="26" t="s">
        <v>28</v>
      </c>
    </row>
    <row r="4" ht="33.75" customHeight="1">
      <c r="B4" s="27" t="s">
        <v>29</v>
      </c>
      <c r="C4" s="28" t="s">
        <v>30</v>
      </c>
      <c r="D4" s="27" t="s">
        <v>31</v>
      </c>
      <c r="E4" s="27" t="s">
        <v>32</v>
      </c>
      <c r="F4" s="27" t="s">
        <v>18</v>
      </c>
      <c r="G4" s="27" t="s">
        <v>9</v>
      </c>
      <c r="H4" s="27" t="s">
        <v>33</v>
      </c>
      <c r="I4" s="27" t="s">
        <v>34</v>
      </c>
      <c r="J4" s="27" t="s">
        <v>35</v>
      </c>
      <c r="K4" s="27" t="s">
        <v>36</v>
      </c>
      <c r="L4" s="27" t="s">
        <v>37</v>
      </c>
      <c r="M4" s="27" t="s">
        <v>38</v>
      </c>
      <c r="N4" s="27" t="s">
        <v>39</v>
      </c>
      <c r="O4" s="27" t="s">
        <v>40</v>
      </c>
      <c r="P4" s="27" t="s">
        <v>41</v>
      </c>
      <c r="Q4" s="27" t="s">
        <v>42</v>
      </c>
      <c r="R4" s="27" t="s">
        <v>43</v>
      </c>
    </row>
    <row r="5">
      <c r="B5" s="29" t="s">
        <v>44</v>
      </c>
      <c r="C5" s="30" t="s">
        <v>45</v>
      </c>
      <c r="D5" s="30" t="s">
        <v>46</v>
      </c>
      <c r="E5" s="30" t="s">
        <v>47</v>
      </c>
      <c r="F5" s="31" t="s">
        <v>21</v>
      </c>
      <c r="G5" s="29" t="s">
        <v>12</v>
      </c>
      <c r="H5" s="29" t="s">
        <v>48</v>
      </c>
      <c r="I5" s="32">
        <v>46175.0</v>
      </c>
      <c r="J5" s="32">
        <v>46189.0</v>
      </c>
      <c r="K5" s="29">
        <f t="shared" ref="K5:K20" si="1">IF(I5="","",IF(G5="Complete",R5-I5,TODAY()-I5))</f>
        <v>7</v>
      </c>
      <c r="L5" s="29">
        <f t="shared" ref="L5:L20" si="2">IF(J5="","",IF(G5="Complete","Done",J5-TODAY()))</f>
        <v>7</v>
      </c>
      <c r="M5" s="33">
        <f t="shared" ref="M5:M20" si="3">IFERROR(IF(I5="","",MIN(1,MAX(0,(TODAY()-I5)/(J5-I5)))),"")</f>
        <v>0.5</v>
      </c>
      <c r="N5" s="30" t="s">
        <v>49</v>
      </c>
      <c r="O5" s="30" t="s">
        <v>50</v>
      </c>
      <c r="P5" s="30"/>
      <c r="Q5" s="30" t="s">
        <v>51</v>
      </c>
      <c r="R5" s="32">
        <v>46180.0</v>
      </c>
    </row>
    <row r="6">
      <c r="B6" s="34" t="s">
        <v>52</v>
      </c>
      <c r="C6" s="35" t="s">
        <v>53</v>
      </c>
      <c r="D6" s="35" t="s">
        <v>54</v>
      </c>
      <c r="E6" s="35" t="s">
        <v>55</v>
      </c>
      <c r="F6" s="35" t="s">
        <v>20</v>
      </c>
      <c r="G6" s="29" t="s">
        <v>11</v>
      </c>
      <c r="H6" s="34" t="s">
        <v>48</v>
      </c>
      <c r="I6" s="36"/>
      <c r="J6" s="36">
        <v>46203.0</v>
      </c>
      <c r="K6" s="34" t="str">
        <f t="shared" si="1"/>
        <v/>
      </c>
      <c r="L6" s="34">
        <f t="shared" si="2"/>
        <v>21</v>
      </c>
      <c r="M6" s="33" t="str">
        <f t="shared" si="3"/>
        <v/>
      </c>
      <c r="N6" s="35" t="s">
        <v>56</v>
      </c>
      <c r="O6" s="35" t="s">
        <v>57</v>
      </c>
      <c r="P6" s="35" t="s">
        <v>58</v>
      </c>
      <c r="Q6" s="35" t="s">
        <v>59</v>
      </c>
      <c r="R6" s="36">
        <v>46180.0</v>
      </c>
    </row>
    <row r="7">
      <c r="B7" s="29" t="s">
        <v>60</v>
      </c>
      <c r="C7" s="30" t="s">
        <v>61</v>
      </c>
      <c r="D7" s="30" t="s">
        <v>62</v>
      </c>
      <c r="E7" s="30" t="s">
        <v>63</v>
      </c>
      <c r="F7" s="30" t="s">
        <v>26</v>
      </c>
      <c r="G7" s="29" t="s">
        <v>12</v>
      </c>
      <c r="H7" s="29" t="s">
        <v>48</v>
      </c>
      <c r="I7" s="32">
        <v>46176.0</v>
      </c>
      <c r="J7" s="32">
        <v>46193.0</v>
      </c>
      <c r="K7" s="29">
        <f t="shared" si="1"/>
        <v>6</v>
      </c>
      <c r="L7" s="29">
        <f t="shared" si="2"/>
        <v>11</v>
      </c>
      <c r="M7" s="33">
        <f t="shared" si="3"/>
        <v>0.3529411765</v>
      </c>
      <c r="N7" s="30" t="s">
        <v>64</v>
      </c>
      <c r="O7" s="30" t="s">
        <v>65</v>
      </c>
      <c r="P7" s="30" t="s">
        <v>66</v>
      </c>
      <c r="Q7" s="30" t="s">
        <v>67</v>
      </c>
      <c r="R7" s="32">
        <v>46180.0</v>
      </c>
    </row>
    <row r="8">
      <c r="B8" s="34" t="s">
        <v>68</v>
      </c>
      <c r="C8" s="35" t="s">
        <v>69</v>
      </c>
      <c r="D8" s="35" t="s">
        <v>70</v>
      </c>
      <c r="E8" s="35" t="s">
        <v>55</v>
      </c>
      <c r="F8" s="35" t="s">
        <v>23</v>
      </c>
      <c r="G8" s="29" t="s">
        <v>11</v>
      </c>
      <c r="H8" s="34" t="s">
        <v>48</v>
      </c>
      <c r="I8" s="36"/>
      <c r="J8" s="36">
        <v>46186.0</v>
      </c>
      <c r="K8" s="34" t="str">
        <f t="shared" si="1"/>
        <v/>
      </c>
      <c r="L8" s="34">
        <f t="shared" si="2"/>
        <v>4</v>
      </c>
      <c r="M8" s="33" t="str">
        <f t="shared" si="3"/>
        <v/>
      </c>
      <c r="N8" s="35" t="s">
        <v>71</v>
      </c>
      <c r="O8" s="35" t="s">
        <v>72</v>
      </c>
      <c r="P8" s="35"/>
      <c r="Q8" s="35" t="s">
        <v>73</v>
      </c>
      <c r="R8" s="36">
        <v>46180.0</v>
      </c>
    </row>
    <row r="9">
      <c r="B9" s="29" t="s">
        <v>74</v>
      </c>
      <c r="C9" s="30" t="s">
        <v>75</v>
      </c>
      <c r="D9" s="30" t="s">
        <v>76</v>
      </c>
      <c r="E9" s="30" t="s">
        <v>77</v>
      </c>
      <c r="F9" s="30" t="s">
        <v>23</v>
      </c>
      <c r="G9" s="29" t="s">
        <v>12</v>
      </c>
      <c r="H9" s="29" t="s">
        <v>48</v>
      </c>
      <c r="I9" s="32">
        <v>46177.0</v>
      </c>
      <c r="J9" s="32">
        <v>46200.0</v>
      </c>
      <c r="K9" s="29">
        <f t="shared" si="1"/>
        <v>5</v>
      </c>
      <c r="L9" s="29">
        <f t="shared" si="2"/>
        <v>18</v>
      </c>
      <c r="M9" s="33">
        <f t="shared" si="3"/>
        <v>0.2173913043</v>
      </c>
      <c r="N9" s="30" t="s">
        <v>78</v>
      </c>
      <c r="O9" s="30" t="s">
        <v>57</v>
      </c>
      <c r="P9" s="30"/>
      <c r="Q9" s="30" t="s">
        <v>79</v>
      </c>
      <c r="R9" s="32">
        <v>46180.0</v>
      </c>
    </row>
    <row r="10">
      <c r="B10" s="34" t="s">
        <v>80</v>
      </c>
      <c r="C10" s="35" t="s">
        <v>81</v>
      </c>
      <c r="D10" s="35" t="s">
        <v>82</v>
      </c>
      <c r="E10" s="35" t="s">
        <v>83</v>
      </c>
      <c r="F10" s="35" t="s">
        <v>20</v>
      </c>
      <c r="G10" s="29" t="s">
        <v>12</v>
      </c>
      <c r="H10" s="34" t="s">
        <v>48</v>
      </c>
      <c r="I10" s="36">
        <v>46178.0</v>
      </c>
      <c r="J10" s="36">
        <v>46207.0</v>
      </c>
      <c r="K10" s="34">
        <f t="shared" si="1"/>
        <v>4</v>
      </c>
      <c r="L10" s="34">
        <f t="shared" si="2"/>
        <v>25</v>
      </c>
      <c r="M10" s="33">
        <f t="shared" si="3"/>
        <v>0.1379310345</v>
      </c>
      <c r="N10" s="35" t="s">
        <v>84</v>
      </c>
      <c r="O10" s="35" t="s">
        <v>85</v>
      </c>
      <c r="P10" s="35"/>
      <c r="Q10" s="35" t="s">
        <v>86</v>
      </c>
      <c r="R10" s="36">
        <v>46180.0</v>
      </c>
    </row>
    <row r="11">
      <c r="B11" s="29" t="s">
        <v>87</v>
      </c>
      <c r="C11" s="30" t="s">
        <v>88</v>
      </c>
      <c r="D11" s="30" t="s">
        <v>89</v>
      </c>
      <c r="E11" s="30" t="s">
        <v>90</v>
      </c>
      <c r="F11" s="30" t="s">
        <v>21</v>
      </c>
      <c r="G11" s="29" t="s">
        <v>11</v>
      </c>
      <c r="H11" s="29" t="s">
        <v>91</v>
      </c>
      <c r="I11" s="32"/>
      <c r="J11" s="32">
        <v>46249.0</v>
      </c>
      <c r="K11" s="29" t="str">
        <f t="shared" si="1"/>
        <v/>
      </c>
      <c r="L11" s="29">
        <f t="shared" si="2"/>
        <v>67</v>
      </c>
      <c r="M11" s="33" t="str">
        <f t="shared" si="3"/>
        <v/>
      </c>
      <c r="N11" s="30" t="s">
        <v>92</v>
      </c>
      <c r="O11" s="30" t="s">
        <v>93</v>
      </c>
      <c r="P11" s="30" t="s">
        <v>94</v>
      </c>
      <c r="Q11" s="30" t="s">
        <v>95</v>
      </c>
      <c r="R11" s="32">
        <v>46180.0</v>
      </c>
    </row>
    <row r="12">
      <c r="B12" s="34" t="s">
        <v>96</v>
      </c>
      <c r="C12" s="35" t="s">
        <v>97</v>
      </c>
      <c r="D12" s="35" t="s">
        <v>98</v>
      </c>
      <c r="E12" s="35" t="s">
        <v>99</v>
      </c>
      <c r="F12" s="35" t="s">
        <v>21</v>
      </c>
      <c r="G12" s="29" t="s">
        <v>11</v>
      </c>
      <c r="H12" s="34" t="s">
        <v>91</v>
      </c>
      <c r="I12" s="36"/>
      <c r="J12" s="36">
        <v>46218.0</v>
      </c>
      <c r="K12" s="34" t="str">
        <f t="shared" si="1"/>
        <v/>
      </c>
      <c r="L12" s="34">
        <f t="shared" si="2"/>
        <v>36</v>
      </c>
      <c r="M12" s="33" t="str">
        <f t="shared" si="3"/>
        <v/>
      </c>
      <c r="N12" s="35" t="s">
        <v>100</v>
      </c>
      <c r="O12" s="35" t="s">
        <v>101</v>
      </c>
      <c r="P12" s="35"/>
      <c r="Q12" s="35" t="s">
        <v>102</v>
      </c>
      <c r="R12" s="36">
        <v>46180.0</v>
      </c>
    </row>
    <row r="13">
      <c r="B13" s="29" t="s">
        <v>103</v>
      </c>
      <c r="C13" s="30" t="s">
        <v>104</v>
      </c>
      <c r="D13" s="30" t="s">
        <v>105</v>
      </c>
      <c r="E13" s="30" t="s">
        <v>106</v>
      </c>
      <c r="F13" s="30" t="s">
        <v>20</v>
      </c>
      <c r="G13" s="29" t="s">
        <v>11</v>
      </c>
      <c r="H13" s="29" t="s">
        <v>91</v>
      </c>
      <c r="I13" s="32"/>
      <c r="J13" s="32">
        <v>46235.0</v>
      </c>
      <c r="K13" s="29" t="str">
        <f t="shared" si="1"/>
        <v/>
      </c>
      <c r="L13" s="29">
        <f t="shared" si="2"/>
        <v>53</v>
      </c>
      <c r="M13" s="33" t="str">
        <f t="shared" si="3"/>
        <v/>
      </c>
      <c r="N13" s="30" t="s">
        <v>107</v>
      </c>
      <c r="O13" s="30" t="s">
        <v>108</v>
      </c>
      <c r="P13" s="30"/>
      <c r="Q13" s="30" t="s">
        <v>109</v>
      </c>
      <c r="R13" s="32">
        <v>46180.0</v>
      </c>
    </row>
    <row r="14">
      <c r="B14" s="34" t="s">
        <v>110</v>
      </c>
      <c r="C14" s="35" t="s">
        <v>111</v>
      </c>
      <c r="D14" s="35" t="s">
        <v>112</v>
      </c>
      <c r="E14" s="35" t="s">
        <v>55</v>
      </c>
      <c r="F14" s="35" t="s">
        <v>20</v>
      </c>
      <c r="G14" s="29" t="s">
        <v>11</v>
      </c>
      <c r="H14" s="34" t="s">
        <v>91</v>
      </c>
      <c r="I14" s="36"/>
      <c r="J14" s="36">
        <v>46280.0</v>
      </c>
      <c r="K14" s="34" t="str">
        <f t="shared" si="1"/>
        <v/>
      </c>
      <c r="L14" s="34">
        <f t="shared" si="2"/>
        <v>98</v>
      </c>
      <c r="M14" s="33" t="str">
        <f t="shared" si="3"/>
        <v/>
      </c>
      <c r="N14" s="35" t="s">
        <v>113</v>
      </c>
      <c r="O14" s="35" t="s">
        <v>114</v>
      </c>
      <c r="P14" s="35"/>
      <c r="Q14" s="35" t="s">
        <v>115</v>
      </c>
      <c r="R14" s="36">
        <v>46180.0</v>
      </c>
    </row>
    <row r="15">
      <c r="B15" s="29" t="s">
        <v>116</v>
      </c>
      <c r="C15" s="30" t="s">
        <v>117</v>
      </c>
      <c r="D15" s="30" t="s">
        <v>118</v>
      </c>
      <c r="E15" s="30" t="s">
        <v>63</v>
      </c>
      <c r="F15" s="30" t="s">
        <v>26</v>
      </c>
      <c r="G15" s="29" t="s">
        <v>11</v>
      </c>
      <c r="H15" s="29" t="s">
        <v>119</v>
      </c>
      <c r="I15" s="32"/>
      <c r="J15" s="32">
        <v>46295.0</v>
      </c>
      <c r="K15" s="29" t="str">
        <f t="shared" si="1"/>
        <v/>
      </c>
      <c r="L15" s="29">
        <f t="shared" si="2"/>
        <v>113</v>
      </c>
      <c r="M15" s="33" t="str">
        <f t="shared" si="3"/>
        <v/>
      </c>
      <c r="N15" s="30" t="s">
        <v>120</v>
      </c>
      <c r="O15" s="30" t="s">
        <v>121</v>
      </c>
      <c r="P15" s="30"/>
      <c r="Q15" s="30" t="s">
        <v>122</v>
      </c>
      <c r="R15" s="32">
        <v>46180.0</v>
      </c>
    </row>
    <row r="16">
      <c r="B16" s="34" t="s">
        <v>123</v>
      </c>
      <c r="C16" s="35" t="s">
        <v>124</v>
      </c>
      <c r="D16" s="35" t="s">
        <v>125</v>
      </c>
      <c r="E16" s="35" t="s">
        <v>126</v>
      </c>
      <c r="F16" s="35" t="s">
        <v>25</v>
      </c>
      <c r="G16" s="29" t="s">
        <v>12</v>
      </c>
      <c r="H16" s="34" t="s">
        <v>48</v>
      </c>
      <c r="I16" s="36">
        <v>46179.0</v>
      </c>
      <c r="J16" s="36">
        <v>46182.0</v>
      </c>
      <c r="K16" s="34">
        <f t="shared" si="1"/>
        <v>3</v>
      </c>
      <c r="L16" s="34">
        <f t="shared" si="2"/>
        <v>0</v>
      </c>
      <c r="M16" s="33">
        <f t="shared" si="3"/>
        <v>1</v>
      </c>
      <c r="N16" s="35" t="s">
        <v>127</v>
      </c>
      <c r="O16" s="35" t="s">
        <v>128</v>
      </c>
      <c r="P16" s="35"/>
      <c r="Q16" s="35" t="s">
        <v>129</v>
      </c>
      <c r="R16" s="36">
        <v>46180.0</v>
      </c>
    </row>
    <row r="17">
      <c r="B17" s="37" t="s">
        <v>123</v>
      </c>
      <c r="C17" s="38" t="s">
        <v>130</v>
      </c>
      <c r="D17" s="38" t="s">
        <v>131</v>
      </c>
      <c r="E17" s="38" t="s">
        <v>126</v>
      </c>
      <c r="F17" s="38" t="s">
        <v>132</v>
      </c>
      <c r="G17" s="39" t="s">
        <v>12</v>
      </c>
      <c r="H17" s="37" t="s">
        <v>48</v>
      </c>
      <c r="I17" s="40">
        <v>46175.0</v>
      </c>
      <c r="J17" s="40">
        <v>46200.0</v>
      </c>
      <c r="K17" s="34">
        <f t="shared" si="1"/>
        <v>7</v>
      </c>
      <c r="L17" s="34">
        <f t="shared" si="2"/>
        <v>18</v>
      </c>
      <c r="M17" s="33">
        <f t="shared" si="3"/>
        <v>0.28</v>
      </c>
      <c r="N17" s="38" t="s">
        <v>133</v>
      </c>
      <c r="O17" s="38" t="s">
        <v>134</v>
      </c>
      <c r="P17" s="38" t="s">
        <v>135</v>
      </c>
      <c r="Q17" s="38" t="s">
        <v>136</v>
      </c>
      <c r="R17" s="36">
        <v>46180.0</v>
      </c>
    </row>
    <row r="18">
      <c r="B18" s="37" t="s">
        <v>137</v>
      </c>
      <c r="C18" s="38" t="s">
        <v>138</v>
      </c>
      <c r="D18" s="38" t="s">
        <v>139</v>
      </c>
      <c r="E18" s="38" t="s">
        <v>106</v>
      </c>
      <c r="F18" s="38" t="s">
        <v>24</v>
      </c>
      <c r="G18" s="39" t="s">
        <v>11</v>
      </c>
      <c r="H18" s="37" t="s">
        <v>48</v>
      </c>
      <c r="I18" s="36"/>
      <c r="J18" s="36"/>
      <c r="K18" s="34" t="str">
        <f t="shared" si="1"/>
        <v/>
      </c>
      <c r="L18" s="34" t="str">
        <f t="shared" si="2"/>
        <v/>
      </c>
      <c r="M18" s="33" t="str">
        <f t="shared" si="3"/>
        <v/>
      </c>
      <c r="N18" s="38" t="s">
        <v>140</v>
      </c>
      <c r="O18" s="38" t="s">
        <v>141</v>
      </c>
      <c r="P18" s="38" t="s">
        <v>142</v>
      </c>
      <c r="Q18" s="38" t="s">
        <v>143</v>
      </c>
      <c r="R18" s="36">
        <v>46180.0</v>
      </c>
    </row>
    <row r="19">
      <c r="B19" s="37" t="s">
        <v>144</v>
      </c>
      <c r="C19" s="38" t="s">
        <v>145</v>
      </c>
      <c r="D19" s="38" t="s">
        <v>146</v>
      </c>
      <c r="E19" s="38" t="s">
        <v>63</v>
      </c>
      <c r="F19" s="38" t="s">
        <v>25</v>
      </c>
      <c r="G19" s="39" t="s">
        <v>11</v>
      </c>
      <c r="H19" s="37" t="s">
        <v>119</v>
      </c>
      <c r="I19" s="36"/>
      <c r="J19" s="36"/>
      <c r="K19" s="34" t="str">
        <f t="shared" si="1"/>
        <v/>
      </c>
      <c r="L19" s="34" t="str">
        <f t="shared" si="2"/>
        <v/>
      </c>
      <c r="M19" s="33" t="str">
        <f t="shared" si="3"/>
        <v/>
      </c>
      <c r="N19" s="38" t="s">
        <v>147</v>
      </c>
      <c r="O19" s="38" t="s">
        <v>148</v>
      </c>
      <c r="P19" s="38" t="s">
        <v>149</v>
      </c>
      <c r="Q19" s="38" t="s">
        <v>150</v>
      </c>
      <c r="R19" s="36">
        <v>46180.0</v>
      </c>
    </row>
    <row r="20">
      <c r="B20" s="37" t="s">
        <v>151</v>
      </c>
      <c r="C20" s="38" t="s">
        <v>152</v>
      </c>
      <c r="D20" s="38" t="s">
        <v>153</v>
      </c>
      <c r="E20" s="38" t="s">
        <v>126</v>
      </c>
      <c r="F20" s="38" t="s">
        <v>25</v>
      </c>
      <c r="G20" s="39" t="s">
        <v>12</v>
      </c>
      <c r="H20" s="37" t="s">
        <v>48</v>
      </c>
      <c r="I20" s="40">
        <v>46180.0</v>
      </c>
      <c r="J20" s="36"/>
      <c r="K20" s="34">
        <f t="shared" si="1"/>
        <v>2</v>
      </c>
      <c r="L20" s="34" t="str">
        <f t="shared" si="2"/>
        <v/>
      </c>
      <c r="M20" s="33">
        <f t="shared" si="3"/>
        <v>0</v>
      </c>
      <c r="N20" s="38" t="s">
        <v>154</v>
      </c>
      <c r="O20" s="38" t="s">
        <v>155</v>
      </c>
      <c r="P20" s="38" t="s">
        <v>156</v>
      </c>
      <c r="Q20" s="38" t="s">
        <v>157</v>
      </c>
      <c r="R20" s="36">
        <v>46180.0</v>
      </c>
    </row>
    <row r="21">
      <c r="B21" s="37" t="s">
        <v>158</v>
      </c>
      <c r="C21" s="38" t="s">
        <v>159</v>
      </c>
      <c r="D21" s="38" t="s">
        <v>160</v>
      </c>
      <c r="E21" s="38" t="s">
        <v>77</v>
      </c>
      <c r="F21" s="38" t="s">
        <v>24</v>
      </c>
      <c r="G21" s="39" t="s">
        <v>11</v>
      </c>
      <c r="H21" s="37" t="s">
        <v>48</v>
      </c>
      <c r="I21" s="40">
        <v>46183.0</v>
      </c>
      <c r="J21" s="36"/>
      <c r="K21" s="34"/>
      <c r="L21" s="34"/>
      <c r="M21" s="41"/>
      <c r="N21" s="35"/>
      <c r="O21" s="35"/>
      <c r="P21" s="35"/>
      <c r="Q21" s="35"/>
      <c r="R21" s="36"/>
    </row>
    <row r="22">
      <c r="B22" s="39" t="s">
        <v>161</v>
      </c>
      <c r="C22" s="31" t="s">
        <v>162</v>
      </c>
      <c r="D22" s="31" t="s">
        <v>163</v>
      </c>
      <c r="E22" s="31" t="s">
        <v>106</v>
      </c>
      <c r="F22" s="31" t="s">
        <v>132</v>
      </c>
      <c r="G22" s="39" t="s">
        <v>11</v>
      </c>
      <c r="H22" s="39" t="s">
        <v>48</v>
      </c>
      <c r="I22" s="42">
        <v>46188.0</v>
      </c>
      <c r="J22" s="40">
        <v>46200.0</v>
      </c>
      <c r="K22" s="29">
        <f t="shared" ref="K22:K37" si="4">IF(I22="","",IF(G22="Complete",R22-I22,TODAY()-I22))</f>
        <v>-6</v>
      </c>
      <c r="L22" s="29">
        <f t="shared" ref="L22:L37" si="5">IF(J22="","",IF(G22="Complete","Done",J22-TODAY()))</f>
        <v>18</v>
      </c>
      <c r="M22" s="33">
        <f t="shared" ref="M22:M37" si="6">IFERROR(IF(I22="","",MIN(1,MAX(0,(TODAY()-I22)/(J22-I22)))),"")</f>
        <v>0</v>
      </c>
      <c r="N22" s="31" t="s">
        <v>164</v>
      </c>
      <c r="O22" s="31" t="s">
        <v>165</v>
      </c>
      <c r="P22" s="30"/>
      <c r="Q22" s="30"/>
      <c r="R22" s="40">
        <v>46181.0</v>
      </c>
    </row>
    <row r="23">
      <c r="B23" s="37" t="s">
        <v>166</v>
      </c>
      <c r="C23" s="38" t="s">
        <v>167</v>
      </c>
      <c r="D23" s="38" t="s">
        <v>168</v>
      </c>
      <c r="E23" s="38" t="s">
        <v>90</v>
      </c>
      <c r="F23" s="38" t="s">
        <v>132</v>
      </c>
      <c r="G23" s="39" t="s">
        <v>11</v>
      </c>
      <c r="H23" s="37" t="s">
        <v>48</v>
      </c>
      <c r="I23" s="36"/>
      <c r="J23" s="36"/>
      <c r="K23" s="34" t="str">
        <f t="shared" si="4"/>
        <v/>
      </c>
      <c r="L23" s="34" t="str">
        <f t="shared" si="5"/>
        <v/>
      </c>
      <c r="M23" s="33" t="str">
        <f t="shared" si="6"/>
        <v/>
      </c>
      <c r="N23" s="38" t="s">
        <v>169</v>
      </c>
      <c r="O23" s="38" t="s">
        <v>170</v>
      </c>
      <c r="P23" s="38" t="s">
        <v>171</v>
      </c>
      <c r="Q23" s="35"/>
      <c r="R23" s="40">
        <v>46181.0</v>
      </c>
    </row>
    <row r="24">
      <c r="B24" s="39" t="s">
        <v>172</v>
      </c>
      <c r="C24" s="31" t="s">
        <v>173</v>
      </c>
      <c r="D24" s="31" t="s">
        <v>174</v>
      </c>
      <c r="E24" s="31" t="s">
        <v>55</v>
      </c>
      <c r="F24" s="31" t="s">
        <v>25</v>
      </c>
      <c r="G24" s="39" t="s">
        <v>11</v>
      </c>
      <c r="H24" s="39" t="s">
        <v>48</v>
      </c>
      <c r="I24" s="32"/>
      <c r="J24" s="32"/>
      <c r="K24" s="29" t="str">
        <f t="shared" si="4"/>
        <v/>
      </c>
      <c r="L24" s="29" t="str">
        <f t="shared" si="5"/>
        <v/>
      </c>
      <c r="M24" s="33" t="str">
        <f t="shared" si="6"/>
        <v/>
      </c>
      <c r="N24" s="31" t="s">
        <v>175</v>
      </c>
      <c r="O24" s="31" t="s">
        <v>176</v>
      </c>
      <c r="P24" s="31" t="s">
        <v>177</v>
      </c>
      <c r="Q24" s="30"/>
      <c r="R24" s="40">
        <v>46181.0</v>
      </c>
    </row>
    <row r="25">
      <c r="B25" s="37" t="s">
        <v>178</v>
      </c>
      <c r="C25" s="38" t="s">
        <v>179</v>
      </c>
      <c r="D25" s="38" t="s">
        <v>180</v>
      </c>
      <c r="E25" s="38" t="s">
        <v>77</v>
      </c>
      <c r="F25" s="38" t="s">
        <v>132</v>
      </c>
      <c r="G25" s="39" t="s">
        <v>11</v>
      </c>
      <c r="H25" s="37" t="s">
        <v>91</v>
      </c>
      <c r="I25" s="36"/>
      <c r="J25" s="36"/>
      <c r="K25" s="34" t="str">
        <f t="shared" si="4"/>
        <v/>
      </c>
      <c r="L25" s="34" t="str">
        <f t="shared" si="5"/>
        <v/>
      </c>
      <c r="M25" s="33" t="str">
        <f t="shared" si="6"/>
        <v/>
      </c>
      <c r="N25" s="38" t="s">
        <v>181</v>
      </c>
      <c r="O25" s="38" t="s">
        <v>182</v>
      </c>
      <c r="P25" s="38" t="s">
        <v>183</v>
      </c>
      <c r="Q25" s="35"/>
      <c r="R25" s="40">
        <v>46181.0</v>
      </c>
    </row>
    <row r="26">
      <c r="B26" s="37" t="s">
        <v>184</v>
      </c>
      <c r="C26" s="31" t="s">
        <v>185</v>
      </c>
      <c r="D26" s="31" t="s">
        <v>186</v>
      </c>
      <c r="E26" s="31" t="s">
        <v>106</v>
      </c>
      <c r="F26" s="31" t="s">
        <v>132</v>
      </c>
      <c r="G26" s="39" t="s">
        <v>11</v>
      </c>
      <c r="H26" s="39" t="s">
        <v>91</v>
      </c>
      <c r="I26" s="32"/>
      <c r="J26" s="32"/>
      <c r="K26" s="29" t="str">
        <f t="shared" si="4"/>
        <v/>
      </c>
      <c r="L26" s="29" t="str">
        <f t="shared" si="5"/>
        <v/>
      </c>
      <c r="M26" s="33" t="str">
        <f t="shared" si="6"/>
        <v/>
      </c>
      <c r="N26" s="31" t="s">
        <v>187</v>
      </c>
      <c r="O26" s="31" t="s">
        <v>188</v>
      </c>
      <c r="P26" s="31" t="s">
        <v>189</v>
      </c>
      <c r="Q26" s="30"/>
      <c r="R26" s="40">
        <v>46181.0</v>
      </c>
    </row>
    <row r="27">
      <c r="B27" s="39" t="s">
        <v>190</v>
      </c>
      <c r="C27" s="38" t="s">
        <v>191</v>
      </c>
      <c r="D27" s="38" t="s">
        <v>192</v>
      </c>
      <c r="E27" s="38" t="s">
        <v>106</v>
      </c>
      <c r="F27" s="38" t="s">
        <v>132</v>
      </c>
      <c r="G27" s="39" t="s">
        <v>11</v>
      </c>
      <c r="H27" s="37" t="s">
        <v>48</v>
      </c>
      <c r="I27" s="36"/>
      <c r="J27" s="36"/>
      <c r="K27" s="34" t="str">
        <f t="shared" si="4"/>
        <v/>
      </c>
      <c r="L27" s="34" t="str">
        <f t="shared" si="5"/>
        <v/>
      </c>
      <c r="M27" s="33" t="str">
        <f t="shared" si="6"/>
        <v/>
      </c>
      <c r="N27" s="38" t="s">
        <v>193</v>
      </c>
      <c r="O27" s="38" t="s">
        <v>194</v>
      </c>
      <c r="P27" s="38" t="s">
        <v>195</v>
      </c>
      <c r="Q27" s="35"/>
      <c r="R27" s="40">
        <v>46181.0</v>
      </c>
    </row>
    <row r="28">
      <c r="B28" s="37" t="s">
        <v>196</v>
      </c>
      <c r="C28" s="31" t="s">
        <v>197</v>
      </c>
      <c r="D28" s="31" t="s">
        <v>198</v>
      </c>
      <c r="E28" s="31" t="s">
        <v>77</v>
      </c>
      <c r="F28" s="31" t="s">
        <v>24</v>
      </c>
      <c r="G28" s="39" t="s">
        <v>11</v>
      </c>
      <c r="H28" s="39" t="s">
        <v>48</v>
      </c>
      <c r="I28" s="32"/>
      <c r="J28" s="32"/>
      <c r="K28" s="29" t="str">
        <f t="shared" si="4"/>
        <v/>
      </c>
      <c r="L28" s="29" t="str">
        <f t="shared" si="5"/>
        <v/>
      </c>
      <c r="M28" s="33" t="str">
        <f t="shared" si="6"/>
        <v/>
      </c>
      <c r="N28" s="30"/>
      <c r="O28" s="30"/>
      <c r="P28" s="30"/>
      <c r="Q28" s="30"/>
      <c r="R28" s="32"/>
    </row>
    <row r="29">
      <c r="B29" s="37" t="s">
        <v>199</v>
      </c>
      <c r="C29" s="38" t="s">
        <v>200</v>
      </c>
      <c r="D29" s="38" t="s">
        <v>201</v>
      </c>
      <c r="E29" s="38" t="s">
        <v>63</v>
      </c>
      <c r="F29" s="38" t="s">
        <v>132</v>
      </c>
      <c r="G29" s="39" t="s">
        <v>11</v>
      </c>
      <c r="H29" s="37" t="s">
        <v>91</v>
      </c>
      <c r="I29" s="36"/>
      <c r="J29" s="36"/>
      <c r="K29" s="34" t="str">
        <f t="shared" si="4"/>
        <v/>
      </c>
      <c r="L29" s="34" t="str">
        <f t="shared" si="5"/>
        <v/>
      </c>
      <c r="M29" s="33" t="str">
        <f t="shared" si="6"/>
        <v/>
      </c>
      <c r="N29" s="35"/>
      <c r="O29" s="35"/>
      <c r="P29" s="35"/>
      <c r="Q29" s="35"/>
      <c r="R29" s="36"/>
    </row>
    <row r="30">
      <c r="B30" s="39" t="s">
        <v>202</v>
      </c>
      <c r="C30" s="31" t="s">
        <v>203</v>
      </c>
      <c r="D30" s="31" t="s">
        <v>204</v>
      </c>
      <c r="E30" s="31" t="s">
        <v>90</v>
      </c>
      <c r="F30" s="31" t="s">
        <v>21</v>
      </c>
      <c r="G30" s="39" t="s">
        <v>11</v>
      </c>
      <c r="H30" s="39" t="s">
        <v>91</v>
      </c>
      <c r="I30" s="32"/>
      <c r="J30" s="32"/>
      <c r="K30" s="29" t="str">
        <f t="shared" si="4"/>
        <v/>
      </c>
      <c r="L30" s="29" t="str">
        <f t="shared" si="5"/>
        <v/>
      </c>
      <c r="M30" s="33" t="str">
        <f t="shared" si="6"/>
        <v/>
      </c>
      <c r="N30" s="30"/>
      <c r="O30" s="30"/>
      <c r="P30" s="30"/>
      <c r="Q30" s="30"/>
      <c r="R30" s="32"/>
    </row>
    <row r="31">
      <c r="B31" s="37" t="s">
        <v>205</v>
      </c>
      <c r="C31" s="38" t="s">
        <v>206</v>
      </c>
      <c r="D31" s="38" t="s">
        <v>207</v>
      </c>
      <c r="E31" s="38" t="s">
        <v>90</v>
      </c>
      <c r="F31" s="35"/>
      <c r="G31" s="39" t="s">
        <v>11</v>
      </c>
      <c r="H31" s="37" t="s">
        <v>91</v>
      </c>
      <c r="I31" s="36"/>
      <c r="J31" s="36"/>
      <c r="K31" s="34" t="str">
        <f t="shared" si="4"/>
        <v/>
      </c>
      <c r="L31" s="34" t="str">
        <f t="shared" si="5"/>
        <v/>
      </c>
      <c r="M31" s="33" t="str">
        <f t="shared" si="6"/>
        <v/>
      </c>
      <c r="N31" s="35"/>
      <c r="O31" s="35"/>
      <c r="P31" s="35"/>
      <c r="Q31" s="35"/>
      <c r="R31" s="36"/>
    </row>
    <row r="32">
      <c r="B32" s="39" t="s">
        <v>208</v>
      </c>
      <c r="C32" s="31" t="s">
        <v>209</v>
      </c>
      <c r="D32" s="31" t="s">
        <v>210</v>
      </c>
      <c r="E32" s="31" t="s">
        <v>63</v>
      </c>
      <c r="F32" s="30"/>
      <c r="G32" s="39" t="s">
        <v>11</v>
      </c>
      <c r="H32" s="39" t="s">
        <v>119</v>
      </c>
      <c r="I32" s="32"/>
      <c r="J32" s="32"/>
      <c r="K32" s="29" t="str">
        <f t="shared" si="4"/>
        <v/>
      </c>
      <c r="L32" s="29" t="str">
        <f t="shared" si="5"/>
        <v/>
      </c>
      <c r="M32" s="33" t="str">
        <f t="shared" si="6"/>
        <v/>
      </c>
      <c r="N32" s="30"/>
      <c r="O32" s="30"/>
      <c r="P32" s="30"/>
      <c r="Q32" s="30"/>
      <c r="R32" s="32"/>
    </row>
    <row r="33">
      <c r="B33" s="37" t="s">
        <v>211</v>
      </c>
      <c r="C33" s="38" t="s">
        <v>212</v>
      </c>
      <c r="D33" s="38" t="s">
        <v>213</v>
      </c>
      <c r="E33" s="38" t="s">
        <v>90</v>
      </c>
      <c r="F33" s="38" t="s">
        <v>20</v>
      </c>
      <c r="G33" s="39" t="s">
        <v>12</v>
      </c>
      <c r="H33" s="37" t="s">
        <v>48</v>
      </c>
      <c r="I33" s="40">
        <v>46181.0</v>
      </c>
      <c r="J33" s="40">
        <v>46185.0</v>
      </c>
      <c r="K33" s="34">
        <f t="shared" si="4"/>
        <v>1</v>
      </c>
      <c r="L33" s="34">
        <f t="shared" si="5"/>
        <v>3</v>
      </c>
      <c r="M33" s="33">
        <f t="shared" si="6"/>
        <v>0.25</v>
      </c>
      <c r="N33" s="35"/>
      <c r="O33" s="35"/>
      <c r="P33" s="35"/>
      <c r="Q33" s="35"/>
      <c r="R33" s="36"/>
    </row>
    <row r="34">
      <c r="B34" s="37"/>
      <c r="C34" s="38"/>
      <c r="D34" s="38"/>
      <c r="E34" s="38"/>
      <c r="F34" s="38"/>
      <c r="G34" s="39"/>
      <c r="H34" s="37"/>
      <c r="I34" s="40"/>
      <c r="J34" s="40"/>
      <c r="K34" s="34" t="str">
        <f t="shared" si="4"/>
        <v/>
      </c>
      <c r="L34" s="34" t="str">
        <f t="shared" si="5"/>
        <v/>
      </c>
      <c r="M34" s="33" t="str">
        <f t="shared" si="6"/>
        <v/>
      </c>
      <c r="N34" s="38"/>
      <c r="O34" s="38"/>
      <c r="P34" s="38"/>
      <c r="Q34" s="38"/>
      <c r="R34" s="36"/>
    </row>
    <row r="35">
      <c r="B35" s="37"/>
      <c r="C35" s="38"/>
      <c r="D35" s="38"/>
      <c r="E35" s="38"/>
      <c r="F35" s="38"/>
      <c r="G35" s="39"/>
      <c r="H35" s="37"/>
      <c r="I35" s="36"/>
      <c r="J35" s="36"/>
      <c r="K35" s="34" t="str">
        <f t="shared" si="4"/>
        <v/>
      </c>
      <c r="L35" s="34" t="str">
        <f t="shared" si="5"/>
        <v/>
      </c>
      <c r="M35" s="33" t="str">
        <f t="shared" si="6"/>
        <v/>
      </c>
      <c r="N35" s="38"/>
      <c r="O35" s="38"/>
      <c r="P35" s="38"/>
      <c r="Q35" s="38"/>
      <c r="R35" s="36"/>
    </row>
    <row r="36">
      <c r="B36" s="37"/>
      <c r="C36" s="38"/>
      <c r="D36" s="38"/>
      <c r="E36" s="38"/>
      <c r="F36" s="38"/>
      <c r="G36" s="39"/>
      <c r="H36" s="37"/>
      <c r="I36" s="36"/>
      <c r="J36" s="36"/>
      <c r="K36" s="34" t="str">
        <f t="shared" si="4"/>
        <v/>
      </c>
      <c r="L36" s="34" t="str">
        <f t="shared" si="5"/>
        <v/>
      </c>
      <c r="M36" s="33" t="str">
        <f t="shared" si="6"/>
        <v/>
      </c>
      <c r="N36" s="38"/>
      <c r="O36" s="38"/>
      <c r="P36" s="38"/>
      <c r="Q36" s="38"/>
      <c r="R36" s="36"/>
    </row>
    <row r="37">
      <c r="B37" s="37"/>
      <c r="C37" s="38"/>
      <c r="D37" s="38"/>
      <c r="E37" s="38"/>
      <c r="F37" s="38"/>
      <c r="G37" s="39"/>
      <c r="H37" s="37"/>
      <c r="I37" s="40"/>
      <c r="J37" s="36"/>
      <c r="K37" s="34" t="str">
        <f t="shared" si="4"/>
        <v/>
      </c>
      <c r="L37" s="34" t="str">
        <f t="shared" si="5"/>
        <v/>
      </c>
      <c r="M37" s="33" t="str">
        <f t="shared" si="6"/>
        <v/>
      </c>
      <c r="N37" s="38"/>
      <c r="O37" s="38"/>
      <c r="P37" s="38"/>
      <c r="Q37" s="38"/>
      <c r="R37" s="36"/>
    </row>
    <row r="38">
      <c r="B38" s="37"/>
      <c r="C38" s="38"/>
      <c r="D38" s="38"/>
      <c r="E38" s="38"/>
      <c r="F38" s="38"/>
      <c r="G38" s="39"/>
      <c r="H38" s="37"/>
      <c r="I38" s="36"/>
      <c r="J38" s="36"/>
      <c r="K38" s="34"/>
      <c r="L38" s="34"/>
      <c r="M38" s="41"/>
      <c r="N38" s="35"/>
      <c r="O38" s="35"/>
      <c r="P38" s="35"/>
      <c r="Q38" s="35"/>
      <c r="R38" s="36"/>
    </row>
    <row r="39">
      <c r="B39" s="29"/>
      <c r="C39" s="30"/>
      <c r="D39" s="30"/>
      <c r="E39" s="30"/>
      <c r="F39" s="31"/>
      <c r="G39" s="29"/>
      <c r="H39" s="29"/>
      <c r="I39" s="32"/>
      <c r="J39" s="32"/>
      <c r="K39" s="29" t="str">
        <f t="shared" ref="K39:K54" si="7">IF(I39="","",IF(G39="Complete",R39-I39,TODAY()-I39))</f>
        <v/>
      </c>
      <c r="L39" s="29" t="str">
        <f t="shared" ref="L39:L54" si="8">IF(J39="","",IF(G39="Complete","Done",J39-TODAY()))</f>
        <v/>
      </c>
      <c r="M39" s="33" t="str">
        <f t="shared" ref="M39:M54" si="9">IFERROR(IF(I39="","",MIN(1,MAX(0,(TODAY()-I39)/(J39-I39)))),"")</f>
        <v/>
      </c>
      <c r="N39" s="30"/>
      <c r="O39" s="30"/>
      <c r="P39" s="30"/>
      <c r="Q39" s="30"/>
      <c r="R39" s="32"/>
    </row>
    <row r="40">
      <c r="B40" s="34"/>
      <c r="C40" s="35"/>
      <c r="D40" s="35"/>
      <c r="E40" s="35"/>
      <c r="F40" s="35"/>
      <c r="G40" s="29"/>
      <c r="H40" s="34"/>
      <c r="I40" s="36"/>
      <c r="J40" s="36"/>
      <c r="K40" s="34" t="str">
        <f t="shared" si="7"/>
        <v/>
      </c>
      <c r="L40" s="34" t="str">
        <f t="shared" si="8"/>
        <v/>
      </c>
      <c r="M40" s="33" t="str">
        <f t="shared" si="9"/>
        <v/>
      </c>
      <c r="N40" s="35"/>
      <c r="O40" s="35"/>
      <c r="P40" s="35"/>
      <c r="Q40" s="35"/>
      <c r="R40" s="36"/>
    </row>
    <row r="41">
      <c r="B41" s="29"/>
      <c r="C41" s="30"/>
      <c r="D41" s="30"/>
      <c r="E41" s="30"/>
      <c r="F41" s="30"/>
      <c r="G41" s="29"/>
      <c r="H41" s="29"/>
      <c r="I41" s="32"/>
      <c r="J41" s="32"/>
      <c r="K41" s="29" t="str">
        <f t="shared" si="7"/>
        <v/>
      </c>
      <c r="L41" s="29" t="str">
        <f t="shared" si="8"/>
        <v/>
      </c>
      <c r="M41" s="33" t="str">
        <f t="shared" si="9"/>
        <v/>
      </c>
      <c r="N41" s="30"/>
      <c r="O41" s="30"/>
      <c r="P41" s="30"/>
      <c r="Q41" s="30"/>
      <c r="R41" s="32"/>
    </row>
    <row r="42">
      <c r="B42" s="34"/>
      <c r="C42" s="35"/>
      <c r="D42" s="35"/>
      <c r="E42" s="35"/>
      <c r="F42" s="35"/>
      <c r="G42" s="29"/>
      <c r="H42" s="34"/>
      <c r="I42" s="36"/>
      <c r="J42" s="36"/>
      <c r="K42" s="34" t="str">
        <f t="shared" si="7"/>
        <v/>
      </c>
      <c r="L42" s="34" t="str">
        <f t="shared" si="8"/>
        <v/>
      </c>
      <c r="M42" s="33" t="str">
        <f t="shared" si="9"/>
        <v/>
      </c>
      <c r="N42" s="35"/>
      <c r="O42" s="35"/>
      <c r="P42" s="35"/>
      <c r="Q42" s="35"/>
      <c r="R42" s="36"/>
    </row>
    <row r="43">
      <c r="B43" s="29"/>
      <c r="C43" s="30"/>
      <c r="D43" s="30"/>
      <c r="E43" s="30"/>
      <c r="F43" s="30"/>
      <c r="G43" s="29"/>
      <c r="H43" s="29"/>
      <c r="I43" s="32"/>
      <c r="J43" s="32"/>
      <c r="K43" s="29" t="str">
        <f t="shared" si="7"/>
        <v/>
      </c>
      <c r="L43" s="29" t="str">
        <f t="shared" si="8"/>
        <v/>
      </c>
      <c r="M43" s="33" t="str">
        <f t="shared" si="9"/>
        <v/>
      </c>
      <c r="N43" s="30"/>
      <c r="O43" s="30"/>
      <c r="P43" s="30"/>
      <c r="Q43" s="30"/>
      <c r="R43" s="32"/>
    </row>
    <row r="44">
      <c r="B44" s="34"/>
      <c r="C44" s="35"/>
      <c r="D44" s="35"/>
      <c r="E44" s="35"/>
      <c r="F44" s="35"/>
      <c r="G44" s="29"/>
      <c r="H44" s="34"/>
      <c r="I44" s="36"/>
      <c r="J44" s="36"/>
      <c r="K44" s="34" t="str">
        <f t="shared" si="7"/>
        <v/>
      </c>
      <c r="L44" s="34" t="str">
        <f t="shared" si="8"/>
        <v/>
      </c>
      <c r="M44" s="33" t="str">
        <f t="shared" si="9"/>
        <v/>
      </c>
      <c r="N44" s="35"/>
      <c r="O44" s="35"/>
      <c r="P44" s="35"/>
      <c r="Q44" s="35"/>
      <c r="R44" s="36"/>
    </row>
    <row r="45">
      <c r="B45" s="29"/>
      <c r="C45" s="30"/>
      <c r="D45" s="30"/>
      <c r="E45" s="30"/>
      <c r="F45" s="30"/>
      <c r="G45" s="29"/>
      <c r="H45" s="29"/>
      <c r="I45" s="32"/>
      <c r="J45" s="32"/>
      <c r="K45" s="29" t="str">
        <f t="shared" si="7"/>
        <v/>
      </c>
      <c r="L45" s="29" t="str">
        <f t="shared" si="8"/>
        <v/>
      </c>
      <c r="M45" s="33" t="str">
        <f t="shared" si="9"/>
        <v/>
      </c>
      <c r="N45" s="30"/>
      <c r="O45" s="30"/>
      <c r="P45" s="30"/>
      <c r="Q45" s="30"/>
      <c r="R45" s="32"/>
    </row>
    <row r="46">
      <c r="B46" s="34"/>
      <c r="C46" s="35"/>
      <c r="D46" s="35"/>
      <c r="E46" s="35"/>
      <c r="F46" s="35"/>
      <c r="G46" s="29"/>
      <c r="H46" s="34"/>
      <c r="I46" s="36"/>
      <c r="J46" s="36"/>
      <c r="K46" s="34" t="str">
        <f t="shared" si="7"/>
        <v/>
      </c>
      <c r="L46" s="34" t="str">
        <f t="shared" si="8"/>
        <v/>
      </c>
      <c r="M46" s="33" t="str">
        <f t="shared" si="9"/>
        <v/>
      </c>
      <c r="N46" s="35"/>
      <c r="O46" s="35"/>
      <c r="P46" s="35"/>
      <c r="Q46" s="35"/>
      <c r="R46" s="36"/>
    </row>
    <row r="47">
      <c r="B47" s="29"/>
      <c r="C47" s="30"/>
      <c r="D47" s="30"/>
      <c r="E47" s="30"/>
      <c r="F47" s="30"/>
      <c r="G47" s="29"/>
      <c r="H47" s="29"/>
      <c r="I47" s="32"/>
      <c r="J47" s="32"/>
      <c r="K47" s="29" t="str">
        <f t="shared" si="7"/>
        <v/>
      </c>
      <c r="L47" s="29" t="str">
        <f t="shared" si="8"/>
        <v/>
      </c>
      <c r="M47" s="33" t="str">
        <f t="shared" si="9"/>
        <v/>
      </c>
      <c r="N47" s="30"/>
      <c r="O47" s="30"/>
      <c r="P47" s="30"/>
      <c r="Q47" s="30"/>
      <c r="R47" s="32"/>
    </row>
    <row r="48">
      <c r="B48" s="34"/>
      <c r="C48" s="35"/>
      <c r="D48" s="35"/>
      <c r="E48" s="35"/>
      <c r="F48" s="35"/>
      <c r="G48" s="29"/>
      <c r="H48" s="34"/>
      <c r="I48" s="36"/>
      <c r="J48" s="36"/>
      <c r="K48" s="34" t="str">
        <f t="shared" si="7"/>
        <v/>
      </c>
      <c r="L48" s="34" t="str">
        <f t="shared" si="8"/>
        <v/>
      </c>
      <c r="M48" s="33" t="str">
        <f t="shared" si="9"/>
        <v/>
      </c>
      <c r="N48" s="35"/>
      <c r="O48" s="35"/>
      <c r="P48" s="35"/>
      <c r="Q48" s="35"/>
      <c r="R48" s="36"/>
    </row>
    <row r="49">
      <c r="B49" s="29"/>
      <c r="C49" s="30"/>
      <c r="D49" s="30"/>
      <c r="E49" s="30"/>
      <c r="F49" s="30"/>
      <c r="G49" s="29"/>
      <c r="H49" s="29"/>
      <c r="I49" s="32"/>
      <c r="J49" s="32"/>
      <c r="K49" s="29" t="str">
        <f t="shared" si="7"/>
        <v/>
      </c>
      <c r="L49" s="29" t="str">
        <f t="shared" si="8"/>
        <v/>
      </c>
      <c r="M49" s="33" t="str">
        <f t="shared" si="9"/>
        <v/>
      </c>
      <c r="N49" s="30"/>
      <c r="O49" s="30"/>
      <c r="P49" s="30"/>
      <c r="Q49" s="30"/>
      <c r="R49" s="32"/>
    </row>
    <row r="50">
      <c r="B50" s="34"/>
      <c r="C50" s="35"/>
      <c r="D50" s="35"/>
      <c r="E50" s="35"/>
      <c r="F50" s="35"/>
      <c r="G50" s="29"/>
      <c r="H50" s="34"/>
      <c r="I50" s="36"/>
      <c r="J50" s="36"/>
      <c r="K50" s="34" t="str">
        <f t="shared" si="7"/>
        <v/>
      </c>
      <c r="L50" s="34" t="str">
        <f t="shared" si="8"/>
        <v/>
      </c>
      <c r="M50" s="33" t="str">
        <f t="shared" si="9"/>
        <v/>
      </c>
      <c r="N50" s="35"/>
      <c r="O50" s="35"/>
      <c r="P50" s="35"/>
      <c r="Q50" s="35"/>
      <c r="R50" s="36"/>
    </row>
    <row r="51">
      <c r="B51" s="37"/>
      <c r="C51" s="38"/>
      <c r="D51" s="38"/>
      <c r="E51" s="38"/>
      <c r="F51" s="38"/>
      <c r="G51" s="39"/>
      <c r="H51" s="37"/>
      <c r="I51" s="40"/>
      <c r="J51" s="40"/>
      <c r="K51" s="34" t="str">
        <f t="shared" si="7"/>
        <v/>
      </c>
      <c r="L51" s="34" t="str">
        <f t="shared" si="8"/>
        <v/>
      </c>
      <c r="M51" s="33" t="str">
        <f t="shared" si="9"/>
        <v/>
      </c>
      <c r="N51" s="38"/>
      <c r="O51" s="38"/>
      <c r="P51" s="38"/>
      <c r="Q51" s="38"/>
      <c r="R51" s="36"/>
    </row>
    <row r="52">
      <c r="B52" s="37"/>
      <c r="C52" s="38"/>
      <c r="D52" s="38"/>
      <c r="E52" s="38"/>
      <c r="F52" s="38"/>
      <c r="G52" s="39"/>
      <c r="H52" s="37"/>
      <c r="I52" s="36"/>
      <c r="J52" s="36"/>
      <c r="K52" s="34" t="str">
        <f t="shared" si="7"/>
        <v/>
      </c>
      <c r="L52" s="34" t="str">
        <f t="shared" si="8"/>
        <v/>
      </c>
      <c r="M52" s="33" t="str">
        <f t="shared" si="9"/>
        <v/>
      </c>
      <c r="N52" s="38"/>
      <c r="O52" s="38"/>
      <c r="P52" s="38"/>
      <c r="Q52" s="38"/>
      <c r="R52" s="36"/>
    </row>
    <row r="53">
      <c r="B53" s="37"/>
      <c r="C53" s="38"/>
      <c r="D53" s="38"/>
      <c r="E53" s="38"/>
      <c r="F53" s="38"/>
      <c r="G53" s="39"/>
      <c r="H53" s="37"/>
      <c r="I53" s="36"/>
      <c r="J53" s="36"/>
      <c r="K53" s="34" t="str">
        <f t="shared" si="7"/>
        <v/>
      </c>
      <c r="L53" s="34" t="str">
        <f t="shared" si="8"/>
        <v/>
      </c>
      <c r="M53" s="33" t="str">
        <f t="shared" si="9"/>
        <v/>
      </c>
      <c r="N53" s="38"/>
      <c r="O53" s="38"/>
      <c r="P53" s="38"/>
      <c r="Q53" s="38"/>
      <c r="R53" s="36"/>
    </row>
    <row r="54">
      <c r="B54" s="37"/>
      <c r="C54" s="38"/>
      <c r="D54" s="38"/>
      <c r="E54" s="38"/>
      <c r="F54" s="38"/>
      <c r="G54" s="39"/>
      <c r="H54" s="37"/>
      <c r="I54" s="40"/>
      <c r="J54" s="36"/>
      <c r="K54" s="34" t="str">
        <f t="shared" si="7"/>
        <v/>
      </c>
      <c r="L54" s="34" t="str">
        <f t="shared" si="8"/>
        <v/>
      </c>
      <c r="M54" s="33" t="str">
        <f t="shared" si="9"/>
        <v/>
      </c>
      <c r="N54" s="38"/>
      <c r="O54" s="38"/>
      <c r="P54" s="38"/>
      <c r="Q54" s="38"/>
      <c r="R54" s="36"/>
    </row>
    <row r="55">
      <c r="B55" s="37"/>
      <c r="C55" s="38"/>
      <c r="D55" s="38"/>
      <c r="E55" s="38"/>
      <c r="F55" s="38"/>
      <c r="G55" s="39"/>
      <c r="H55" s="37"/>
      <c r="I55" s="36"/>
      <c r="J55" s="36"/>
      <c r="K55" s="34"/>
      <c r="L55" s="34"/>
      <c r="M55" s="41"/>
      <c r="N55" s="35"/>
      <c r="O55" s="35"/>
      <c r="P55" s="35"/>
      <c r="Q55" s="35"/>
      <c r="R55" s="36"/>
    </row>
    <row r="56" ht="15.75" customHeight="1">
      <c r="A56" s="43"/>
      <c r="B56" s="44"/>
      <c r="C56" s="44"/>
      <c r="D56" s="44"/>
      <c r="E56" s="44"/>
      <c r="F56" s="44"/>
      <c r="G56" s="44"/>
      <c r="H56" s="44"/>
      <c r="I56" s="45"/>
      <c r="J56" s="45"/>
      <c r="K56" s="44" t="str">
        <f t="shared" ref="K56:K71" si="10">IF(I56="","",IF(G56="Complete",R56-I56,TODAY()-I56))</f>
        <v/>
      </c>
      <c r="L56" s="44" t="str">
        <f t="shared" ref="L56:L71" si="11">IF(J56="","",IF(G56="Complete","Done",J56-TODAY()))</f>
        <v/>
      </c>
      <c r="M56" s="46" t="str">
        <f t="shared" ref="M56:M71" si="12">IFERROR(IF(I56="","",MIN(1,MAX(0,(TODAY()-I56)/(J56-I56)))),"")</f>
        <v/>
      </c>
      <c r="N56" s="44"/>
      <c r="O56" s="44"/>
      <c r="P56" s="44"/>
      <c r="Q56" s="44"/>
      <c r="R56" s="45"/>
      <c r="S56" s="43"/>
      <c r="T56" s="43"/>
      <c r="U56" s="43"/>
      <c r="V56" s="43"/>
      <c r="W56" s="43"/>
      <c r="X56" s="43"/>
      <c r="Y56" s="43"/>
      <c r="Z56" s="43"/>
    </row>
    <row r="57" ht="15.75" customHeight="1">
      <c r="A57" s="43"/>
      <c r="B57" s="47"/>
      <c r="C57" s="47"/>
      <c r="D57" s="47"/>
      <c r="E57" s="47"/>
      <c r="F57" s="47"/>
      <c r="G57" s="47"/>
      <c r="H57" s="47"/>
      <c r="I57" s="48"/>
      <c r="J57" s="48"/>
      <c r="K57" s="47" t="str">
        <f t="shared" si="10"/>
        <v/>
      </c>
      <c r="L57" s="47" t="str">
        <f t="shared" si="11"/>
        <v/>
      </c>
      <c r="M57" s="49" t="str">
        <f t="shared" si="12"/>
        <v/>
      </c>
      <c r="N57" s="47"/>
      <c r="O57" s="47"/>
      <c r="P57" s="47"/>
      <c r="Q57" s="47"/>
      <c r="R57" s="48"/>
      <c r="S57" s="43"/>
      <c r="T57" s="43"/>
      <c r="U57" s="43"/>
      <c r="V57" s="43"/>
      <c r="W57" s="43"/>
      <c r="X57" s="43"/>
      <c r="Y57" s="43"/>
      <c r="Z57" s="43"/>
    </row>
    <row r="58" ht="15.75" customHeight="1">
      <c r="A58" s="43"/>
      <c r="B58" s="44"/>
      <c r="C58" s="44"/>
      <c r="D58" s="44"/>
      <c r="E58" s="44"/>
      <c r="F58" s="44"/>
      <c r="G58" s="44"/>
      <c r="H58" s="44"/>
      <c r="I58" s="45"/>
      <c r="J58" s="45"/>
      <c r="K58" s="44" t="str">
        <f t="shared" si="10"/>
        <v/>
      </c>
      <c r="L58" s="44" t="str">
        <f t="shared" si="11"/>
        <v/>
      </c>
      <c r="M58" s="46" t="str">
        <f t="shared" si="12"/>
        <v/>
      </c>
      <c r="N58" s="44"/>
      <c r="O58" s="44"/>
      <c r="P58" s="44"/>
      <c r="Q58" s="44"/>
      <c r="R58" s="45"/>
      <c r="S58" s="43"/>
      <c r="T58" s="43"/>
      <c r="U58" s="43"/>
      <c r="V58" s="43"/>
      <c r="W58" s="43"/>
      <c r="X58" s="43"/>
      <c r="Y58" s="43"/>
      <c r="Z58" s="43"/>
    </row>
    <row r="59" ht="15.75" customHeight="1">
      <c r="A59" s="43"/>
      <c r="B59" s="47"/>
      <c r="C59" s="47"/>
      <c r="D59" s="47"/>
      <c r="E59" s="47"/>
      <c r="F59" s="47"/>
      <c r="G59" s="47"/>
      <c r="H59" s="47"/>
      <c r="I59" s="48"/>
      <c r="J59" s="48"/>
      <c r="K59" s="47" t="str">
        <f t="shared" si="10"/>
        <v/>
      </c>
      <c r="L59" s="47" t="str">
        <f t="shared" si="11"/>
        <v/>
      </c>
      <c r="M59" s="49" t="str">
        <f t="shared" si="12"/>
        <v/>
      </c>
      <c r="N59" s="47"/>
      <c r="O59" s="47"/>
      <c r="P59" s="47"/>
      <c r="Q59" s="47"/>
      <c r="R59" s="48"/>
      <c r="S59" s="43"/>
      <c r="T59" s="43"/>
      <c r="U59" s="43"/>
      <c r="V59" s="43"/>
      <c r="W59" s="43"/>
      <c r="X59" s="43"/>
      <c r="Y59" s="43"/>
      <c r="Z59" s="43"/>
    </row>
    <row r="60" ht="15.75" customHeight="1">
      <c r="A60" s="43"/>
      <c r="B60" s="44"/>
      <c r="C60" s="44"/>
      <c r="D60" s="44"/>
      <c r="E60" s="44"/>
      <c r="F60" s="44"/>
      <c r="G60" s="44"/>
      <c r="H60" s="44"/>
      <c r="I60" s="45"/>
      <c r="J60" s="45"/>
      <c r="K60" s="44" t="str">
        <f t="shared" si="10"/>
        <v/>
      </c>
      <c r="L60" s="44" t="str">
        <f t="shared" si="11"/>
        <v/>
      </c>
      <c r="M60" s="46" t="str">
        <f t="shared" si="12"/>
        <v/>
      </c>
      <c r="N60" s="44"/>
      <c r="O60" s="44"/>
      <c r="P60" s="44"/>
      <c r="Q60" s="44"/>
      <c r="R60" s="45"/>
      <c r="S60" s="43"/>
      <c r="T60" s="43"/>
      <c r="U60" s="43"/>
      <c r="V60" s="43"/>
      <c r="W60" s="43"/>
      <c r="X60" s="43"/>
      <c r="Y60" s="43"/>
      <c r="Z60" s="43"/>
    </row>
    <row r="61" ht="15.75" customHeight="1">
      <c r="A61" s="43"/>
      <c r="B61" s="47"/>
      <c r="C61" s="47"/>
      <c r="D61" s="47"/>
      <c r="E61" s="47"/>
      <c r="F61" s="47"/>
      <c r="G61" s="47"/>
      <c r="H61" s="47"/>
      <c r="I61" s="48"/>
      <c r="J61" s="48"/>
      <c r="K61" s="47" t="str">
        <f t="shared" si="10"/>
        <v/>
      </c>
      <c r="L61" s="47" t="str">
        <f t="shared" si="11"/>
        <v/>
      </c>
      <c r="M61" s="49" t="str">
        <f t="shared" si="12"/>
        <v/>
      </c>
      <c r="N61" s="47"/>
      <c r="O61" s="47"/>
      <c r="P61" s="47"/>
      <c r="Q61" s="47"/>
      <c r="R61" s="48"/>
      <c r="S61" s="43"/>
      <c r="T61" s="43"/>
      <c r="U61" s="43"/>
      <c r="V61" s="43"/>
      <c r="W61" s="43"/>
      <c r="X61" s="43"/>
      <c r="Y61" s="43"/>
      <c r="Z61" s="43"/>
    </row>
    <row r="62" ht="15.75" customHeight="1">
      <c r="A62" s="43"/>
      <c r="B62" s="44"/>
      <c r="C62" s="44"/>
      <c r="D62" s="44"/>
      <c r="E62" s="44"/>
      <c r="F62" s="44"/>
      <c r="G62" s="44"/>
      <c r="H62" s="44"/>
      <c r="I62" s="45"/>
      <c r="J62" s="45"/>
      <c r="K62" s="44" t="str">
        <f t="shared" si="10"/>
        <v/>
      </c>
      <c r="L62" s="44" t="str">
        <f t="shared" si="11"/>
        <v/>
      </c>
      <c r="M62" s="46" t="str">
        <f t="shared" si="12"/>
        <v/>
      </c>
      <c r="N62" s="44"/>
      <c r="O62" s="44"/>
      <c r="P62" s="44"/>
      <c r="Q62" s="44"/>
      <c r="R62" s="45"/>
      <c r="S62" s="43"/>
      <c r="T62" s="43"/>
      <c r="U62" s="43"/>
      <c r="V62" s="43"/>
      <c r="W62" s="43"/>
      <c r="X62" s="43"/>
      <c r="Y62" s="43"/>
      <c r="Z62" s="43"/>
    </row>
    <row r="63" ht="15.75" customHeight="1">
      <c r="A63" s="43"/>
      <c r="B63" s="47"/>
      <c r="C63" s="47"/>
      <c r="D63" s="47"/>
      <c r="E63" s="47"/>
      <c r="F63" s="47"/>
      <c r="G63" s="47"/>
      <c r="H63" s="47"/>
      <c r="I63" s="48"/>
      <c r="J63" s="48"/>
      <c r="K63" s="47" t="str">
        <f t="shared" si="10"/>
        <v/>
      </c>
      <c r="L63" s="47" t="str">
        <f t="shared" si="11"/>
        <v/>
      </c>
      <c r="M63" s="49" t="str">
        <f t="shared" si="12"/>
        <v/>
      </c>
      <c r="N63" s="47"/>
      <c r="O63" s="47"/>
      <c r="P63" s="47"/>
      <c r="Q63" s="47"/>
      <c r="R63" s="48"/>
      <c r="S63" s="43"/>
      <c r="T63" s="43"/>
      <c r="U63" s="43"/>
      <c r="V63" s="43"/>
      <c r="W63" s="43"/>
      <c r="X63" s="43"/>
      <c r="Y63" s="43"/>
      <c r="Z63" s="43"/>
    </row>
    <row r="64" ht="15.75" customHeight="1">
      <c r="A64" s="43"/>
      <c r="B64" s="44"/>
      <c r="C64" s="44"/>
      <c r="D64" s="44"/>
      <c r="E64" s="44"/>
      <c r="F64" s="44"/>
      <c r="G64" s="44"/>
      <c r="H64" s="44"/>
      <c r="I64" s="45"/>
      <c r="J64" s="45"/>
      <c r="K64" s="44" t="str">
        <f t="shared" si="10"/>
        <v/>
      </c>
      <c r="L64" s="44" t="str">
        <f t="shared" si="11"/>
        <v/>
      </c>
      <c r="M64" s="46" t="str">
        <f t="shared" si="12"/>
        <v/>
      </c>
      <c r="N64" s="44"/>
      <c r="O64" s="44"/>
      <c r="P64" s="44"/>
      <c r="Q64" s="44"/>
      <c r="R64" s="45"/>
      <c r="S64" s="43"/>
      <c r="T64" s="43"/>
      <c r="U64" s="43"/>
      <c r="V64" s="43"/>
      <c r="W64" s="43"/>
      <c r="X64" s="43"/>
      <c r="Y64" s="43"/>
      <c r="Z64" s="43"/>
    </row>
    <row r="65" ht="15.75" customHeight="1">
      <c r="A65" s="43"/>
      <c r="B65" s="47"/>
      <c r="C65" s="47"/>
      <c r="D65" s="47"/>
      <c r="E65" s="47"/>
      <c r="F65" s="47"/>
      <c r="G65" s="47"/>
      <c r="H65" s="47"/>
      <c r="I65" s="48"/>
      <c r="J65" s="48"/>
      <c r="K65" s="47" t="str">
        <f t="shared" si="10"/>
        <v/>
      </c>
      <c r="L65" s="47" t="str">
        <f t="shared" si="11"/>
        <v/>
      </c>
      <c r="M65" s="49" t="str">
        <f t="shared" si="12"/>
        <v/>
      </c>
      <c r="N65" s="47"/>
      <c r="O65" s="47"/>
      <c r="P65" s="47"/>
      <c r="Q65" s="47"/>
      <c r="R65" s="48"/>
      <c r="S65" s="43"/>
      <c r="T65" s="43"/>
      <c r="U65" s="43"/>
      <c r="V65" s="43"/>
      <c r="W65" s="43"/>
      <c r="X65" s="43"/>
      <c r="Y65" s="43"/>
      <c r="Z65" s="43"/>
    </row>
    <row r="66" ht="15.75" customHeight="1">
      <c r="A66" s="43"/>
      <c r="B66" s="44"/>
      <c r="C66" s="44"/>
      <c r="D66" s="44"/>
      <c r="E66" s="44"/>
      <c r="F66" s="44"/>
      <c r="G66" s="44"/>
      <c r="H66" s="44"/>
      <c r="I66" s="45"/>
      <c r="J66" s="45"/>
      <c r="K66" s="44" t="str">
        <f t="shared" si="10"/>
        <v/>
      </c>
      <c r="L66" s="44" t="str">
        <f t="shared" si="11"/>
        <v/>
      </c>
      <c r="M66" s="46" t="str">
        <f t="shared" si="12"/>
        <v/>
      </c>
      <c r="N66" s="44"/>
      <c r="O66" s="44"/>
      <c r="P66" s="44"/>
      <c r="Q66" s="44"/>
      <c r="R66" s="45"/>
      <c r="S66" s="43"/>
      <c r="T66" s="43"/>
      <c r="U66" s="43"/>
      <c r="V66" s="43"/>
      <c r="W66" s="43"/>
      <c r="X66" s="43"/>
      <c r="Y66" s="43"/>
      <c r="Z66" s="43"/>
    </row>
    <row r="67" ht="15.75" customHeight="1">
      <c r="A67" s="43"/>
      <c r="B67" s="47"/>
      <c r="C67" s="47"/>
      <c r="D67" s="47"/>
      <c r="E67" s="47"/>
      <c r="F67" s="47"/>
      <c r="G67" s="47"/>
      <c r="H67" s="47"/>
      <c r="I67" s="48"/>
      <c r="J67" s="48"/>
      <c r="K67" s="47" t="str">
        <f t="shared" si="10"/>
        <v/>
      </c>
      <c r="L67" s="47" t="str">
        <f t="shared" si="11"/>
        <v/>
      </c>
      <c r="M67" s="49" t="str">
        <f t="shared" si="12"/>
        <v/>
      </c>
      <c r="N67" s="47"/>
      <c r="O67" s="47"/>
      <c r="P67" s="47"/>
      <c r="Q67" s="47"/>
      <c r="R67" s="48"/>
      <c r="S67" s="43"/>
      <c r="T67" s="43"/>
      <c r="U67" s="43"/>
      <c r="V67" s="43"/>
      <c r="W67" s="43"/>
      <c r="X67" s="43"/>
      <c r="Y67" s="43"/>
      <c r="Z67" s="43"/>
    </row>
    <row r="68" ht="15.75" customHeight="1">
      <c r="A68" s="43"/>
      <c r="B68" s="44"/>
      <c r="C68" s="44"/>
      <c r="D68" s="44"/>
      <c r="E68" s="44"/>
      <c r="F68" s="44"/>
      <c r="G68" s="44"/>
      <c r="H68" s="44"/>
      <c r="I68" s="45"/>
      <c r="J68" s="45"/>
      <c r="K68" s="44" t="str">
        <f t="shared" si="10"/>
        <v/>
      </c>
      <c r="L68" s="44" t="str">
        <f t="shared" si="11"/>
        <v/>
      </c>
      <c r="M68" s="46" t="str">
        <f t="shared" si="12"/>
        <v/>
      </c>
      <c r="N68" s="44"/>
      <c r="O68" s="44"/>
      <c r="P68" s="44"/>
      <c r="Q68" s="44"/>
      <c r="R68" s="45"/>
      <c r="S68" s="43"/>
      <c r="T68" s="43"/>
      <c r="U68" s="43"/>
      <c r="V68" s="43"/>
      <c r="W68" s="43"/>
      <c r="X68" s="43"/>
      <c r="Y68" s="43"/>
      <c r="Z68" s="43"/>
    </row>
    <row r="69" ht="15.75" customHeight="1">
      <c r="A69" s="43"/>
      <c r="B69" s="47"/>
      <c r="C69" s="47"/>
      <c r="D69" s="47"/>
      <c r="E69" s="47"/>
      <c r="F69" s="47"/>
      <c r="G69" s="47"/>
      <c r="H69" s="47"/>
      <c r="I69" s="48"/>
      <c r="J69" s="48"/>
      <c r="K69" s="47" t="str">
        <f t="shared" si="10"/>
        <v/>
      </c>
      <c r="L69" s="47" t="str">
        <f t="shared" si="11"/>
        <v/>
      </c>
      <c r="M69" s="49" t="str">
        <f t="shared" si="12"/>
        <v/>
      </c>
      <c r="N69" s="47"/>
      <c r="O69" s="47"/>
      <c r="P69" s="47"/>
      <c r="Q69" s="47"/>
      <c r="R69" s="48"/>
      <c r="S69" s="43"/>
      <c r="T69" s="43"/>
      <c r="U69" s="43"/>
      <c r="V69" s="43"/>
      <c r="W69" s="43"/>
      <c r="X69" s="43"/>
      <c r="Y69" s="43"/>
      <c r="Z69" s="43"/>
    </row>
    <row r="70" ht="15.75" customHeight="1">
      <c r="A70" s="43"/>
      <c r="B70" s="44"/>
      <c r="C70" s="44"/>
      <c r="D70" s="44"/>
      <c r="E70" s="44"/>
      <c r="F70" s="44"/>
      <c r="G70" s="44"/>
      <c r="H70" s="44"/>
      <c r="I70" s="45"/>
      <c r="J70" s="45"/>
      <c r="K70" s="44" t="str">
        <f t="shared" si="10"/>
        <v/>
      </c>
      <c r="L70" s="44" t="str">
        <f t="shared" si="11"/>
        <v/>
      </c>
      <c r="M70" s="46" t="str">
        <f t="shared" si="12"/>
        <v/>
      </c>
      <c r="N70" s="44"/>
      <c r="O70" s="44"/>
      <c r="P70" s="44"/>
      <c r="Q70" s="44"/>
      <c r="R70" s="45"/>
      <c r="S70" s="43"/>
      <c r="T70" s="43"/>
      <c r="U70" s="43"/>
      <c r="V70" s="43"/>
      <c r="W70" s="43"/>
      <c r="X70" s="43"/>
      <c r="Y70" s="43"/>
      <c r="Z70" s="43"/>
    </row>
    <row r="71" ht="15.75" customHeight="1">
      <c r="A71" s="43"/>
      <c r="B71" s="47"/>
      <c r="C71" s="47"/>
      <c r="D71" s="47"/>
      <c r="E71" s="47"/>
      <c r="F71" s="47"/>
      <c r="G71" s="47"/>
      <c r="H71" s="47"/>
      <c r="I71" s="48"/>
      <c r="J71" s="48"/>
      <c r="K71" s="47" t="str">
        <f t="shared" si="10"/>
        <v/>
      </c>
      <c r="L71" s="47" t="str">
        <f t="shared" si="11"/>
        <v/>
      </c>
      <c r="M71" s="49" t="str">
        <f t="shared" si="12"/>
        <v/>
      </c>
      <c r="N71" s="47"/>
      <c r="O71" s="47"/>
      <c r="P71" s="47"/>
      <c r="Q71" s="47"/>
      <c r="R71" s="48"/>
      <c r="S71" s="43"/>
      <c r="T71" s="43"/>
      <c r="U71" s="43"/>
      <c r="V71" s="43"/>
      <c r="W71" s="43"/>
      <c r="X71" s="43"/>
      <c r="Y71" s="43"/>
      <c r="Z71" s="43"/>
    </row>
    <row r="72" ht="15.75" customHeight="1">
      <c r="A72" s="43"/>
      <c r="B72" s="44"/>
      <c r="C72" s="44"/>
      <c r="D72" s="44"/>
      <c r="E72" s="44"/>
      <c r="F72" s="44"/>
      <c r="G72" s="44"/>
      <c r="H72" s="44"/>
      <c r="I72" s="45"/>
      <c r="J72" s="45"/>
      <c r="K72" s="44"/>
      <c r="L72" s="44"/>
      <c r="M72" s="46"/>
      <c r="N72" s="44"/>
      <c r="O72" s="44"/>
      <c r="P72" s="44"/>
      <c r="Q72" s="44"/>
      <c r="R72" s="45"/>
      <c r="S72" s="43"/>
      <c r="T72" s="43"/>
      <c r="U72" s="43"/>
      <c r="V72" s="43"/>
      <c r="W72" s="43"/>
      <c r="X72" s="43"/>
      <c r="Y72" s="43"/>
      <c r="Z72" s="43"/>
    </row>
    <row r="73" ht="15.75" customHeight="1">
      <c r="A73" s="43"/>
      <c r="B73" s="44"/>
      <c r="C73" s="44"/>
      <c r="D73" s="44"/>
      <c r="E73" s="44"/>
      <c r="F73" s="44"/>
      <c r="G73" s="44"/>
      <c r="H73" s="44"/>
      <c r="I73" s="45"/>
      <c r="J73" s="45"/>
      <c r="K73" s="44" t="str">
        <f t="shared" ref="K73:K88" si="13">IF(I73="","",IF(G73="Complete",R73-I73,TODAY()-I73))</f>
        <v/>
      </c>
      <c r="L73" s="44" t="str">
        <f t="shared" ref="L73:L88" si="14">IF(J73="","",IF(G73="Complete","Done",J73-TODAY()))</f>
        <v/>
      </c>
      <c r="M73" s="46" t="str">
        <f t="shared" ref="M73:M88" si="15">IFERROR(IF(I73="","",MIN(1,MAX(0,(TODAY()-I73)/(J73-I73)))),"")</f>
        <v/>
      </c>
      <c r="N73" s="44"/>
      <c r="O73" s="44"/>
      <c r="P73" s="44"/>
      <c r="Q73" s="44"/>
      <c r="R73" s="45"/>
      <c r="S73" s="43"/>
      <c r="T73" s="43"/>
      <c r="U73" s="43"/>
      <c r="V73" s="43"/>
      <c r="W73" s="43"/>
      <c r="X73" s="43"/>
      <c r="Y73" s="43"/>
      <c r="Z73" s="43"/>
    </row>
    <row r="74" ht="15.75" customHeight="1">
      <c r="A74" s="43"/>
      <c r="B74" s="47"/>
      <c r="C74" s="47"/>
      <c r="D74" s="47"/>
      <c r="E74" s="47"/>
      <c r="F74" s="47"/>
      <c r="G74" s="47"/>
      <c r="H74" s="47"/>
      <c r="I74" s="48"/>
      <c r="J74" s="48"/>
      <c r="K74" s="47" t="str">
        <f t="shared" si="13"/>
        <v/>
      </c>
      <c r="L74" s="47" t="str">
        <f t="shared" si="14"/>
        <v/>
      </c>
      <c r="M74" s="49" t="str">
        <f t="shared" si="15"/>
        <v/>
      </c>
      <c r="N74" s="47"/>
      <c r="O74" s="47"/>
      <c r="P74" s="47"/>
      <c r="Q74" s="47"/>
      <c r="R74" s="48"/>
      <c r="S74" s="43"/>
      <c r="T74" s="43"/>
      <c r="U74" s="43"/>
      <c r="V74" s="43"/>
      <c r="W74" s="43"/>
      <c r="X74" s="43"/>
      <c r="Y74" s="43"/>
      <c r="Z74" s="43"/>
    </row>
    <row r="75" ht="15.75" customHeight="1">
      <c r="A75" s="43"/>
      <c r="B75" s="44"/>
      <c r="C75" s="44"/>
      <c r="D75" s="44"/>
      <c r="E75" s="44"/>
      <c r="F75" s="44"/>
      <c r="G75" s="44"/>
      <c r="H75" s="44"/>
      <c r="I75" s="45"/>
      <c r="J75" s="45"/>
      <c r="K75" s="44" t="str">
        <f t="shared" si="13"/>
        <v/>
      </c>
      <c r="L75" s="44" t="str">
        <f t="shared" si="14"/>
        <v/>
      </c>
      <c r="M75" s="46" t="str">
        <f t="shared" si="15"/>
        <v/>
      </c>
      <c r="N75" s="44"/>
      <c r="O75" s="44"/>
      <c r="P75" s="44"/>
      <c r="Q75" s="44"/>
      <c r="R75" s="45"/>
      <c r="S75" s="43"/>
      <c r="T75" s="43"/>
      <c r="U75" s="43"/>
      <c r="V75" s="43"/>
      <c r="W75" s="43"/>
      <c r="X75" s="43"/>
      <c r="Y75" s="43"/>
      <c r="Z75" s="43"/>
    </row>
    <row r="76" ht="15.75" customHeight="1">
      <c r="A76" s="43"/>
      <c r="B76" s="47"/>
      <c r="C76" s="47"/>
      <c r="D76" s="47"/>
      <c r="E76" s="47"/>
      <c r="F76" s="47"/>
      <c r="G76" s="47"/>
      <c r="H76" s="47"/>
      <c r="I76" s="48"/>
      <c r="J76" s="48"/>
      <c r="K76" s="47" t="str">
        <f t="shared" si="13"/>
        <v/>
      </c>
      <c r="L76" s="47" t="str">
        <f t="shared" si="14"/>
        <v/>
      </c>
      <c r="M76" s="49" t="str">
        <f t="shared" si="15"/>
        <v/>
      </c>
      <c r="N76" s="47"/>
      <c r="O76" s="47"/>
      <c r="P76" s="47"/>
      <c r="Q76" s="47"/>
      <c r="R76" s="48"/>
      <c r="S76" s="43"/>
      <c r="T76" s="43"/>
      <c r="U76" s="43"/>
      <c r="V76" s="43"/>
      <c r="W76" s="43"/>
      <c r="X76" s="43"/>
      <c r="Y76" s="43"/>
      <c r="Z76" s="43"/>
    </row>
    <row r="77" ht="15.75" customHeight="1">
      <c r="A77" s="43"/>
      <c r="B77" s="44"/>
      <c r="C77" s="44"/>
      <c r="D77" s="44"/>
      <c r="E77" s="44"/>
      <c r="F77" s="44"/>
      <c r="G77" s="44"/>
      <c r="H77" s="44"/>
      <c r="I77" s="45"/>
      <c r="J77" s="45"/>
      <c r="K77" s="44" t="str">
        <f t="shared" si="13"/>
        <v/>
      </c>
      <c r="L77" s="44" t="str">
        <f t="shared" si="14"/>
        <v/>
      </c>
      <c r="M77" s="46" t="str">
        <f t="shared" si="15"/>
        <v/>
      </c>
      <c r="N77" s="44"/>
      <c r="O77" s="44"/>
      <c r="P77" s="44"/>
      <c r="Q77" s="44"/>
      <c r="R77" s="45"/>
      <c r="S77" s="43"/>
      <c r="T77" s="43"/>
      <c r="U77" s="43"/>
      <c r="V77" s="43"/>
      <c r="W77" s="43"/>
      <c r="X77" s="43"/>
      <c r="Y77" s="43"/>
      <c r="Z77" s="43"/>
    </row>
    <row r="78" ht="15.75" customHeight="1">
      <c r="A78" s="43"/>
      <c r="B78" s="47"/>
      <c r="C78" s="47"/>
      <c r="D78" s="47"/>
      <c r="E78" s="47"/>
      <c r="F78" s="47"/>
      <c r="G78" s="47"/>
      <c r="H78" s="47"/>
      <c r="I78" s="48"/>
      <c r="J78" s="48"/>
      <c r="K78" s="47" t="str">
        <f t="shared" si="13"/>
        <v/>
      </c>
      <c r="L78" s="47" t="str">
        <f t="shared" si="14"/>
        <v/>
      </c>
      <c r="M78" s="49" t="str">
        <f t="shared" si="15"/>
        <v/>
      </c>
      <c r="N78" s="47"/>
      <c r="O78" s="47"/>
      <c r="P78" s="47"/>
      <c r="Q78" s="47"/>
      <c r="R78" s="48"/>
      <c r="S78" s="43"/>
      <c r="T78" s="43"/>
      <c r="U78" s="43"/>
      <c r="V78" s="43"/>
      <c r="W78" s="43"/>
      <c r="X78" s="43"/>
      <c r="Y78" s="43"/>
      <c r="Z78" s="43"/>
    </row>
    <row r="79" ht="15.75" customHeight="1">
      <c r="A79" s="43"/>
      <c r="B79" s="44"/>
      <c r="C79" s="44"/>
      <c r="D79" s="44"/>
      <c r="E79" s="44"/>
      <c r="F79" s="44"/>
      <c r="G79" s="44"/>
      <c r="H79" s="44"/>
      <c r="I79" s="45"/>
      <c r="J79" s="45"/>
      <c r="K79" s="44" t="str">
        <f t="shared" si="13"/>
        <v/>
      </c>
      <c r="L79" s="44" t="str">
        <f t="shared" si="14"/>
        <v/>
      </c>
      <c r="M79" s="46" t="str">
        <f t="shared" si="15"/>
        <v/>
      </c>
      <c r="N79" s="44"/>
      <c r="O79" s="44"/>
      <c r="P79" s="44"/>
      <c r="Q79" s="44"/>
      <c r="R79" s="45"/>
      <c r="S79" s="43"/>
      <c r="T79" s="43"/>
      <c r="U79" s="43"/>
      <c r="V79" s="43"/>
      <c r="W79" s="43"/>
      <c r="X79" s="43"/>
      <c r="Y79" s="43"/>
      <c r="Z79" s="43"/>
    </row>
    <row r="80" ht="15.75" customHeight="1">
      <c r="A80" s="43"/>
      <c r="B80" s="47"/>
      <c r="C80" s="47"/>
      <c r="D80" s="47"/>
      <c r="E80" s="47"/>
      <c r="F80" s="47"/>
      <c r="G80" s="47"/>
      <c r="H80" s="47"/>
      <c r="I80" s="48"/>
      <c r="J80" s="48"/>
      <c r="K80" s="47" t="str">
        <f t="shared" si="13"/>
        <v/>
      </c>
      <c r="L80" s="47" t="str">
        <f t="shared" si="14"/>
        <v/>
      </c>
      <c r="M80" s="49" t="str">
        <f t="shared" si="15"/>
        <v/>
      </c>
      <c r="N80" s="47"/>
      <c r="O80" s="47"/>
      <c r="P80" s="47"/>
      <c r="Q80" s="47"/>
      <c r="R80" s="48"/>
      <c r="S80" s="43"/>
      <c r="T80" s="43"/>
      <c r="U80" s="43"/>
      <c r="V80" s="43"/>
      <c r="W80" s="43"/>
      <c r="X80" s="43"/>
      <c r="Y80" s="43"/>
      <c r="Z80" s="43"/>
    </row>
    <row r="81" ht="15.75" customHeight="1">
      <c r="A81" s="43"/>
      <c r="B81" s="44"/>
      <c r="C81" s="44"/>
      <c r="D81" s="44"/>
      <c r="E81" s="44"/>
      <c r="F81" s="44"/>
      <c r="G81" s="44"/>
      <c r="H81" s="44"/>
      <c r="I81" s="45"/>
      <c r="J81" s="45"/>
      <c r="K81" s="44" t="str">
        <f t="shared" si="13"/>
        <v/>
      </c>
      <c r="L81" s="44" t="str">
        <f t="shared" si="14"/>
        <v/>
      </c>
      <c r="M81" s="46" t="str">
        <f t="shared" si="15"/>
        <v/>
      </c>
      <c r="N81" s="44"/>
      <c r="O81" s="44"/>
      <c r="P81" s="44"/>
      <c r="Q81" s="44"/>
      <c r="R81" s="45"/>
      <c r="S81" s="43"/>
      <c r="T81" s="43"/>
      <c r="U81" s="43"/>
      <c r="V81" s="43"/>
      <c r="W81" s="43"/>
      <c r="X81" s="43"/>
      <c r="Y81" s="43"/>
      <c r="Z81" s="43"/>
    </row>
    <row r="82" ht="15.75" customHeight="1">
      <c r="A82" s="43"/>
      <c r="B82" s="47"/>
      <c r="C82" s="47"/>
      <c r="D82" s="47"/>
      <c r="E82" s="47"/>
      <c r="F82" s="47"/>
      <c r="G82" s="47"/>
      <c r="H82" s="47"/>
      <c r="I82" s="48"/>
      <c r="J82" s="48"/>
      <c r="K82" s="47" t="str">
        <f t="shared" si="13"/>
        <v/>
      </c>
      <c r="L82" s="47" t="str">
        <f t="shared" si="14"/>
        <v/>
      </c>
      <c r="M82" s="49" t="str">
        <f t="shared" si="15"/>
        <v/>
      </c>
      <c r="N82" s="47"/>
      <c r="O82" s="47"/>
      <c r="P82" s="47"/>
      <c r="Q82" s="47"/>
      <c r="R82" s="48"/>
      <c r="S82" s="43"/>
      <c r="T82" s="43"/>
      <c r="U82" s="43"/>
      <c r="V82" s="43"/>
      <c r="W82" s="43"/>
      <c r="X82" s="43"/>
      <c r="Y82" s="43"/>
      <c r="Z82" s="43"/>
    </row>
    <row r="83" ht="15.75" customHeight="1">
      <c r="A83" s="43"/>
      <c r="B83" s="44"/>
      <c r="C83" s="44"/>
      <c r="D83" s="44"/>
      <c r="E83" s="44"/>
      <c r="F83" s="44"/>
      <c r="G83" s="44"/>
      <c r="H83" s="44"/>
      <c r="I83" s="45"/>
      <c r="J83" s="45"/>
      <c r="K83" s="44" t="str">
        <f t="shared" si="13"/>
        <v/>
      </c>
      <c r="L83" s="44" t="str">
        <f t="shared" si="14"/>
        <v/>
      </c>
      <c r="M83" s="46" t="str">
        <f t="shared" si="15"/>
        <v/>
      </c>
      <c r="N83" s="44"/>
      <c r="O83" s="44"/>
      <c r="P83" s="44"/>
      <c r="Q83" s="44"/>
      <c r="R83" s="45"/>
      <c r="S83" s="43"/>
      <c r="T83" s="43"/>
      <c r="U83" s="43"/>
      <c r="V83" s="43"/>
      <c r="W83" s="43"/>
      <c r="X83" s="43"/>
      <c r="Y83" s="43"/>
      <c r="Z83" s="43"/>
    </row>
    <row r="84" ht="15.75" customHeight="1">
      <c r="A84" s="43"/>
      <c r="B84" s="47"/>
      <c r="C84" s="47"/>
      <c r="D84" s="47"/>
      <c r="E84" s="47"/>
      <c r="F84" s="47"/>
      <c r="G84" s="47"/>
      <c r="H84" s="47"/>
      <c r="I84" s="48"/>
      <c r="J84" s="48"/>
      <c r="K84" s="47" t="str">
        <f t="shared" si="13"/>
        <v/>
      </c>
      <c r="L84" s="47" t="str">
        <f t="shared" si="14"/>
        <v/>
      </c>
      <c r="M84" s="49" t="str">
        <f t="shared" si="15"/>
        <v/>
      </c>
      <c r="N84" s="47"/>
      <c r="O84" s="47"/>
      <c r="P84" s="47"/>
      <c r="Q84" s="47"/>
      <c r="R84" s="48"/>
      <c r="S84" s="43"/>
      <c r="T84" s="43"/>
      <c r="U84" s="43"/>
      <c r="V84" s="43"/>
      <c r="W84" s="43"/>
      <c r="X84" s="43"/>
      <c r="Y84" s="43"/>
      <c r="Z84" s="43"/>
    </row>
    <row r="85" ht="15.75" customHeight="1">
      <c r="A85" s="43"/>
      <c r="B85" s="44"/>
      <c r="C85" s="44"/>
      <c r="D85" s="44"/>
      <c r="E85" s="44"/>
      <c r="F85" s="44"/>
      <c r="G85" s="44"/>
      <c r="H85" s="44"/>
      <c r="I85" s="45"/>
      <c r="J85" s="45"/>
      <c r="K85" s="44" t="str">
        <f t="shared" si="13"/>
        <v/>
      </c>
      <c r="L85" s="44" t="str">
        <f t="shared" si="14"/>
        <v/>
      </c>
      <c r="M85" s="46" t="str">
        <f t="shared" si="15"/>
        <v/>
      </c>
      <c r="N85" s="44"/>
      <c r="O85" s="44"/>
      <c r="P85" s="44"/>
      <c r="Q85" s="44"/>
      <c r="R85" s="45"/>
      <c r="S85" s="43"/>
      <c r="T85" s="43"/>
      <c r="U85" s="43"/>
      <c r="V85" s="43"/>
      <c r="W85" s="43"/>
      <c r="X85" s="43"/>
      <c r="Y85" s="43"/>
      <c r="Z85" s="43"/>
    </row>
    <row r="86" ht="15.75" customHeight="1">
      <c r="A86" s="43"/>
      <c r="B86" s="47"/>
      <c r="C86" s="47"/>
      <c r="D86" s="47"/>
      <c r="E86" s="47"/>
      <c r="F86" s="47"/>
      <c r="G86" s="47"/>
      <c r="H86" s="47"/>
      <c r="I86" s="48"/>
      <c r="J86" s="48"/>
      <c r="K86" s="47" t="str">
        <f t="shared" si="13"/>
        <v/>
      </c>
      <c r="L86" s="47" t="str">
        <f t="shared" si="14"/>
        <v/>
      </c>
      <c r="M86" s="49" t="str">
        <f t="shared" si="15"/>
        <v/>
      </c>
      <c r="N86" s="47"/>
      <c r="O86" s="47"/>
      <c r="P86" s="47"/>
      <c r="Q86" s="47"/>
      <c r="R86" s="48"/>
      <c r="S86" s="43"/>
      <c r="T86" s="43"/>
      <c r="U86" s="43"/>
      <c r="V86" s="43"/>
      <c r="W86" s="43"/>
      <c r="X86" s="43"/>
      <c r="Y86" s="43"/>
      <c r="Z86" s="43"/>
    </row>
    <row r="87" ht="15.75" customHeight="1">
      <c r="A87" s="43"/>
      <c r="B87" s="44"/>
      <c r="C87" s="44"/>
      <c r="D87" s="44"/>
      <c r="E87" s="44"/>
      <c r="F87" s="44"/>
      <c r="G87" s="44"/>
      <c r="H87" s="44"/>
      <c r="I87" s="45"/>
      <c r="J87" s="45"/>
      <c r="K87" s="44" t="str">
        <f t="shared" si="13"/>
        <v/>
      </c>
      <c r="L87" s="44" t="str">
        <f t="shared" si="14"/>
        <v/>
      </c>
      <c r="M87" s="46" t="str">
        <f t="shared" si="15"/>
        <v/>
      </c>
      <c r="N87" s="44"/>
      <c r="O87" s="44"/>
      <c r="P87" s="44"/>
      <c r="Q87" s="44"/>
      <c r="R87" s="45"/>
      <c r="S87" s="43"/>
      <c r="T87" s="43"/>
      <c r="U87" s="43"/>
      <c r="V87" s="43"/>
      <c r="W87" s="43"/>
      <c r="X87" s="43"/>
      <c r="Y87" s="43"/>
      <c r="Z87" s="43"/>
    </row>
    <row r="88" ht="15.75" customHeight="1">
      <c r="A88" s="43"/>
      <c r="B88" s="47"/>
      <c r="C88" s="47"/>
      <c r="D88" s="47"/>
      <c r="E88" s="47"/>
      <c r="F88" s="47"/>
      <c r="G88" s="47"/>
      <c r="H88" s="47"/>
      <c r="I88" s="48"/>
      <c r="J88" s="48"/>
      <c r="K88" s="47" t="str">
        <f t="shared" si="13"/>
        <v/>
      </c>
      <c r="L88" s="47" t="str">
        <f t="shared" si="14"/>
        <v/>
      </c>
      <c r="M88" s="49" t="str">
        <f t="shared" si="15"/>
        <v/>
      </c>
      <c r="N88" s="47"/>
      <c r="O88" s="47"/>
      <c r="P88" s="47"/>
      <c r="Q88" s="47"/>
      <c r="R88" s="48"/>
      <c r="S88" s="43"/>
      <c r="T88" s="43"/>
      <c r="U88" s="43"/>
      <c r="V88" s="43"/>
      <c r="W88" s="43"/>
      <c r="X88" s="43"/>
      <c r="Y88" s="43"/>
      <c r="Z88" s="43"/>
    </row>
    <row r="89" ht="15.75" customHeight="1">
      <c r="A89" s="43"/>
      <c r="B89" s="44"/>
      <c r="C89" s="44"/>
      <c r="D89" s="44"/>
      <c r="E89" s="44"/>
      <c r="F89" s="44"/>
      <c r="G89" s="44"/>
      <c r="H89" s="44"/>
      <c r="I89" s="45"/>
      <c r="J89" s="45"/>
      <c r="K89" s="44"/>
      <c r="L89" s="44"/>
      <c r="M89" s="46"/>
      <c r="N89" s="44"/>
      <c r="O89" s="44"/>
      <c r="P89" s="44"/>
      <c r="Q89" s="44"/>
      <c r="R89" s="45"/>
      <c r="S89" s="43"/>
      <c r="T89" s="43"/>
      <c r="U89" s="43"/>
      <c r="V89" s="43"/>
      <c r="W89" s="43"/>
      <c r="X89" s="43"/>
      <c r="Y89" s="43"/>
      <c r="Z89" s="43"/>
    </row>
    <row r="90" ht="15.75" customHeight="1">
      <c r="A90" s="43"/>
      <c r="B90" s="44"/>
      <c r="C90" s="44"/>
      <c r="D90" s="44"/>
      <c r="E90" s="44"/>
      <c r="F90" s="44"/>
      <c r="G90" s="44"/>
      <c r="H90" s="44"/>
      <c r="I90" s="45"/>
      <c r="J90" s="45"/>
      <c r="K90" s="44" t="str">
        <f t="shared" ref="K90:K105" si="16">IF(I90="","",IF(G90="Complete",R90-I90,TODAY()-I90))</f>
        <v/>
      </c>
      <c r="L90" s="44" t="str">
        <f t="shared" ref="L90:L105" si="17">IF(J90="","",IF(G90="Complete","Done",J90-TODAY()))</f>
        <v/>
      </c>
      <c r="M90" s="46" t="str">
        <f t="shared" ref="M90:M105" si="18">IFERROR(IF(I90="","",MIN(1,MAX(0,(TODAY()-I90)/(J90-I90)))),"")</f>
        <v/>
      </c>
      <c r="N90" s="44"/>
      <c r="O90" s="44"/>
      <c r="P90" s="44"/>
      <c r="Q90" s="44"/>
      <c r="R90" s="45"/>
      <c r="S90" s="43"/>
      <c r="T90" s="43"/>
      <c r="U90" s="43"/>
      <c r="V90" s="43"/>
      <c r="W90" s="43"/>
      <c r="X90" s="43"/>
      <c r="Y90" s="43"/>
      <c r="Z90" s="43"/>
    </row>
    <row r="91" ht="15.75" customHeight="1">
      <c r="A91" s="43"/>
      <c r="B91" s="47"/>
      <c r="C91" s="47"/>
      <c r="D91" s="47"/>
      <c r="E91" s="47"/>
      <c r="F91" s="47"/>
      <c r="G91" s="47"/>
      <c r="H91" s="47"/>
      <c r="I91" s="48"/>
      <c r="J91" s="48"/>
      <c r="K91" s="47" t="str">
        <f t="shared" si="16"/>
        <v/>
      </c>
      <c r="L91" s="47" t="str">
        <f t="shared" si="17"/>
        <v/>
      </c>
      <c r="M91" s="49" t="str">
        <f t="shared" si="18"/>
        <v/>
      </c>
      <c r="N91" s="47"/>
      <c r="O91" s="47"/>
      <c r="P91" s="47"/>
      <c r="Q91" s="47"/>
      <c r="R91" s="48"/>
      <c r="S91" s="43"/>
      <c r="T91" s="43"/>
      <c r="U91" s="43"/>
      <c r="V91" s="43"/>
      <c r="W91" s="43"/>
      <c r="X91" s="43"/>
      <c r="Y91" s="43"/>
      <c r="Z91" s="43"/>
    </row>
    <row r="92" ht="15.75" customHeight="1">
      <c r="A92" s="43"/>
      <c r="B92" s="44"/>
      <c r="C92" s="44"/>
      <c r="D92" s="44"/>
      <c r="E92" s="44"/>
      <c r="F92" s="44"/>
      <c r="G92" s="44"/>
      <c r="H92" s="44"/>
      <c r="I92" s="45"/>
      <c r="J92" s="45"/>
      <c r="K92" s="44" t="str">
        <f t="shared" si="16"/>
        <v/>
      </c>
      <c r="L92" s="44" t="str">
        <f t="shared" si="17"/>
        <v/>
      </c>
      <c r="M92" s="46" t="str">
        <f t="shared" si="18"/>
        <v/>
      </c>
      <c r="N92" s="44"/>
      <c r="O92" s="44"/>
      <c r="P92" s="44"/>
      <c r="Q92" s="44"/>
      <c r="R92" s="45"/>
      <c r="S92" s="43"/>
      <c r="T92" s="43"/>
      <c r="U92" s="43"/>
      <c r="V92" s="43"/>
      <c r="W92" s="43"/>
      <c r="X92" s="43"/>
      <c r="Y92" s="43"/>
      <c r="Z92" s="43"/>
    </row>
    <row r="93" ht="15.75" customHeight="1">
      <c r="A93" s="43"/>
      <c r="B93" s="47"/>
      <c r="C93" s="47"/>
      <c r="D93" s="47"/>
      <c r="E93" s="47"/>
      <c r="F93" s="47"/>
      <c r="G93" s="47"/>
      <c r="H93" s="47"/>
      <c r="I93" s="48"/>
      <c r="J93" s="48"/>
      <c r="K93" s="47" t="str">
        <f t="shared" si="16"/>
        <v/>
      </c>
      <c r="L93" s="47" t="str">
        <f t="shared" si="17"/>
        <v/>
      </c>
      <c r="M93" s="49" t="str">
        <f t="shared" si="18"/>
        <v/>
      </c>
      <c r="N93" s="47"/>
      <c r="O93" s="47"/>
      <c r="P93" s="47"/>
      <c r="Q93" s="47"/>
      <c r="R93" s="48"/>
      <c r="S93" s="43"/>
      <c r="T93" s="43"/>
      <c r="U93" s="43"/>
      <c r="V93" s="43"/>
      <c r="W93" s="43"/>
      <c r="X93" s="43"/>
      <c r="Y93" s="43"/>
      <c r="Z93" s="43"/>
    </row>
    <row r="94" ht="15.75" customHeight="1">
      <c r="A94" s="43"/>
      <c r="B94" s="44"/>
      <c r="C94" s="44"/>
      <c r="D94" s="44"/>
      <c r="E94" s="44"/>
      <c r="F94" s="44"/>
      <c r="G94" s="44"/>
      <c r="H94" s="44"/>
      <c r="I94" s="45"/>
      <c r="J94" s="45"/>
      <c r="K94" s="44" t="str">
        <f t="shared" si="16"/>
        <v/>
      </c>
      <c r="L94" s="44" t="str">
        <f t="shared" si="17"/>
        <v/>
      </c>
      <c r="M94" s="46" t="str">
        <f t="shared" si="18"/>
        <v/>
      </c>
      <c r="N94" s="44"/>
      <c r="O94" s="44"/>
      <c r="P94" s="44"/>
      <c r="Q94" s="44"/>
      <c r="R94" s="45"/>
      <c r="S94" s="43"/>
      <c r="T94" s="43"/>
      <c r="U94" s="43"/>
      <c r="V94" s="43"/>
      <c r="W94" s="43"/>
      <c r="X94" s="43"/>
      <c r="Y94" s="43"/>
      <c r="Z94" s="43"/>
    </row>
    <row r="95" ht="15.75" customHeight="1">
      <c r="A95" s="43"/>
      <c r="B95" s="47"/>
      <c r="C95" s="47"/>
      <c r="D95" s="47"/>
      <c r="E95" s="47"/>
      <c r="F95" s="47"/>
      <c r="G95" s="47"/>
      <c r="H95" s="47"/>
      <c r="I95" s="48"/>
      <c r="J95" s="48"/>
      <c r="K95" s="47" t="str">
        <f t="shared" si="16"/>
        <v/>
      </c>
      <c r="L95" s="47" t="str">
        <f t="shared" si="17"/>
        <v/>
      </c>
      <c r="M95" s="49" t="str">
        <f t="shared" si="18"/>
        <v/>
      </c>
      <c r="N95" s="47"/>
      <c r="O95" s="47"/>
      <c r="P95" s="47"/>
      <c r="Q95" s="47"/>
      <c r="R95" s="48"/>
      <c r="S95" s="43"/>
      <c r="T95" s="43"/>
      <c r="U95" s="43"/>
      <c r="V95" s="43"/>
      <c r="W95" s="43"/>
      <c r="X95" s="43"/>
      <c r="Y95" s="43"/>
      <c r="Z95" s="43"/>
    </row>
    <row r="96" ht="15.75" customHeight="1">
      <c r="A96" s="43"/>
      <c r="B96" s="44"/>
      <c r="C96" s="44"/>
      <c r="D96" s="44"/>
      <c r="E96" s="44"/>
      <c r="F96" s="44"/>
      <c r="G96" s="44"/>
      <c r="H96" s="44"/>
      <c r="I96" s="45"/>
      <c r="J96" s="45"/>
      <c r="K96" s="44" t="str">
        <f t="shared" si="16"/>
        <v/>
      </c>
      <c r="L96" s="44" t="str">
        <f t="shared" si="17"/>
        <v/>
      </c>
      <c r="M96" s="46" t="str">
        <f t="shared" si="18"/>
        <v/>
      </c>
      <c r="N96" s="44"/>
      <c r="O96" s="44"/>
      <c r="P96" s="44"/>
      <c r="Q96" s="44"/>
      <c r="R96" s="45"/>
      <c r="S96" s="43"/>
      <c r="T96" s="43"/>
      <c r="U96" s="43"/>
      <c r="V96" s="43"/>
      <c r="W96" s="43"/>
      <c r="X96" s="43"/>
      <c r="Y96" s="43"/>
      <c r="Z96" s="43"/>
    </row>
    <row r="97" ht="15.75" customHeight="1">
      <c r="A97" s="43"/>
      <c r="B97" s="47"/>
      <c r="C97" s="47"/>
      <c r="D97" s="47"/>
      <c r="E97" s="47"/>
      <c r="F97" s="47"/>
      <c r="G97" s="47"/>
      <c r="H97" s="47"/>
      <c r="I97" s="48"/>
      <c r="J97" s="48"/>
      <c r="K97" s="47" t="str">
        <f t="shared" si="16"/>
        <v/>
      </c>
      <c r="L97" s="47" t="str">
        <f t="shared" si="17"/>
        <v/>
      </c>
      <c r="M97" s="49" t="str">
        <f t="shared" si="18"/>
        <v/>
      </c>
      <c r="N97" s="47"/>
      <c r="O97" s="47"/>
      <c r="P97" s="47"/>
      <c r="Q97" s="47"/>
      <c r="R97" s="48"/>
      <c r="S97" s="43"/>
      <c r="T97" s="43"/>
      <c r="U97" s="43"/>
      <c r="V97" s="43"/>
      <c r="W97" s="43"/>
      <c r="X97" s="43"/>
      <c r="Y97" s="43"/>
      <c r="Z97" s="43"/>
    </row>
    <row r="98" ht="15.75" customHeight="1">
      <c r="A98" s="43"/>
      <c r="B98" s="44"/>
      <c r="C98" s="44"/>
      <c r="D98" s="44"/>
      <c r="E98" s="44"/>
      <c r="F98" s="44"/>
      <c r="G98" s="44"/>
      <c r="H98" s="44"/>
      <c r="I98" s="45"/>
      <c r="J98" s="45"/>
      <c r="K98" s="44" t="str">
        <f t="shared" si="16"/>
        <v/>
      </c>
      <c r="L98" s="44" t="str">
        <f t="shared" si="17"/>
        <v/>
      </c>
      <c r="M98" s="46" t="str">
        <f t="shared" si="18"/>
        <v/>
      </c>
      <c r="N98" s="44"/>
      <c r="O98" s="44"/>
      <c r="P98" s="44"/>
      <c r="Q98" s="44"/>
      <c r="R98" s="45"/>
      <c r="S98" s="43"/>
      <c r="T98" s="43"/>
      <c r="U98" s="43"/>
      <c r="V98" s="43"/>
      <c r="W98" s="43"/>
      <c r="X98" s="43"/>
      <c r="Y98" s="43"/>
      <c r="Z98" s="43"/>
    </row>
    <row r="99" ht="15.75" customHeight="1">
      <c r="A99" s="43"/>
      <c r="B99" s="47"/>
      <c r="C99" s="47"/>
      <c r="D99" s="47"/>
      <c r="E99" s="47"/>
      <c r="F99" s="47"/>
      <c r="G99" s="47"/>
      <c r="H99" s="47"/>
      <c r="I99" s="48"/>
      <c r="J99" s="48"/>
      <c r="K99" s="47" t="str">
        <f t="shared" si="16"/>
        <v/>
      </c>
      <c r="L99" s="47" t="str">
        <f t="shared" si="17"/>
        <v/>
      </c>
      <c r="M99" s="49" t="str">
        <f t="shared" si="18"/>
        <v/>
      </c>
      <c r="N99" s="47"/>
      <c r="O99" s="47"/>
      <c r="P99" s="47"/>
      <c r="Q99" s="47"/>
      <c r="R99" s="48"/>
      <c r="S99" s="43"/>
      <c r="T99" s="43"/>
      <c r="U99" s="43"/>
      <c r="V99" s="43"/>
      <c r="W99" s="43"/>
      <c r="X99" s="43"/>
      <c r="Y99" s="43"/>
      <c r="Z99" s="43"/>
    </row>
    <row r="100" ht="15.75" customHeight="1">
      <c r="A100" s="43"/>
      <c r="B100" s="44"/>
      <c r="C100" s="44"/>
      <c r="D100" s="44"/>
      <c r="E100" s="44"/>
      <c r="F100" s="44"/>
      <c r="G100" s="44"/>
      <c r="H100" s="44"/>
      <c r="I100" s="45"/>
      <c r="J100" s="45"/>
      <c r="K100" s="44" t="str">
        <f t="shared" si="16"/>
        <v/>
      </c>
      <c r="L100" s="44" t="str">
        <f t="shared" si="17"/>
        <v/>
      </c>
      <c r="M100" s="46" t="str">
        <f t="shared" si="18"/>
        <v/>
      </c>
      <c r="N100" s="44"/>
      <c r="O100" s="44"/>
      <c r="P100" s="44"/>
      <c r="Q100" s="44"/>
      <c r="R100" s="45"/>
      <c r="S100" s="43"/>
      <c r="T100" s="43"/>
      <c r="U100" s="43"/>
      <c r="V100" s="43"/>
      <c r="W100" s="43"/>
      <c r="X100" s="43"/>
      <c r="Y100" s="43"/>
      <c r="Z100" s="43"/>
    </row>
    <row r="101" ht="15.75" customHeight="1">
      <c r="A101" s="43"/>
      <c r="B101" s="47"/>
      <c r="C101" s="47"/>
      <c r="D101" s="47"/>
      <c r="E101" s="47"/>
      <c r="F101" s="47"/>
      <c r="G101" s="47"/>
      <c r="H101" s="47"/>
      <c r="I101" s="48"/>
      <c r="J101" s="48"/>
      <c r="K101" s="47" t="str">
        <f t="shared" si="16"/>
        <v/>
      </c>
      <c r="L101" s="47" t="str">
        <f t="shared" si="17"/>
        <v/>
      </c>
      <c r="M101" s="49" t="str">
        <f t="shared" si="18"/>
        <v/>
      </c>
      <c r="N101" s="47"/>
      <c r="O101" s="47"/>
      <c r="P101" s="47"/>
      <c r="Q101" s="47"/>
      <c r="R101" s="48"/>
      <c r="S101" s="43"/>
      <c r="T101" s="43"/>
      <c r="U101" s="43"/>
      <c r="V101" s="43"/>
      <c r="W101" s="43"/>
      <c r="X101" s="43"/>
      <c r="Y101" s="43"/>
      <c r="Z101" s="43"/>
    </row>
    <row r="102" ht="15.75" customHeight="1">
      <c r="A102" s="43"/>
      <c r="B102" s="44"/>
      <c r="C102" s="44"/>
      <c r="D102" s="44"/>
      <c r="E102" s="44"/>
      <c r="F102" s="44"/>
      <c r="G102" s="44"/>
      <c r="H102" s="44"/>
      <c r="I102" s="45"/>
      <c r="J102" s="45"/>
      <c r="K102" s="44" t="str">
        <f t="shared" si="16"/>
        <v/>
      </c>
      <c r="L102" s="44" t="str">
        <f t="shared" si="17"/>
        <v/>
      </c>
      <c r="M102" s="46" t="str">
        <f t="shared" si="18"/>
        <v/>
      </c>
      <c r="N102" s="44"/>
      <c r="O102" s="44"/>
      <c r="P102" s="44"/>
      <c r="Q102" s="44"/>
      <c r="R102" s="45"/>
      <c r="S102" s="43"/>
      <c r="T102" s="43"/>
      <c r="U102" s="43"/>
      <c r="V102" s="43"/>
      <c r="W102" s="43"/>
      <c r="X102" s="43"/>
      <c r="Y102" s="43"/>
      <c r="Z102" s="43"/>
    </row>
    <row r="103" ht="15.75" customHeight="1">
      <c r="A103" s="43"/>
      <c r="B103" s="47"/>
      <c r="C103" s="47"/>
      <c r="D103" s="47"/>
      <c r="E103" s="47"/>
      <c r="F103" s="47"/>
      <c r="G103" s="47"/>
      <c r="H103" s="47"/>
      <c r="I103" s="48"/>
      <c r="J103" s="48"/>
      <c r="K103" s="47" t="str">
        <f t="shared" si="16"/>
        <v/>
      </c>
      <c r="L103" s="47" t="str">
        <f t="shared" si="17"/>
        <v/>
      </c>
      <c r="M103" s="49" t="str">
        <f t="shared" si="18"/>
        <v/>
      </c>
      <c r="N103" s="47"/>
      <c r="O103" s="47"/>
      <c r="P103" s="47"/>
      <c r="Q103" s="47"/>
      <c r="R103" s="48"/>
      <c r="S103" s="43"/>
      <c r="T103" s="43"/>
      <c r="U103" s="43"/>
      <c r="V103" s="43"/>
      <c r="W103" s="43"/>
      <c r="X103" s="43"/>
      <c r="Y103" s="43"/>
      <c r="Z103" s="43"/>
    </row>
    <row r="104" ht="15.75" customHeight="1">
      <c r="A104" s="43"/>
      <c r="B104" s="44"/>
      <c r="C104" s="44"/>
      <c r="D104" s="44"/>
      <c r="E104" s="44"/>
      <c r="F104" s="44"/>
      <c r="G104" s="44"/>
      <c r="H104" s="44"/>
      <c r="I104" s="45"/>
      <c r="J104" s="45"/>
      <c r="K104" s="44" t="str">
        <f t="shared" si="16"/>
        <v/>
      </c>
      <c r="L104" s="44" t="str">
        <f t="shared" si="17"/>
        <v/>
      </c>
      <c r="M104" s="46" t="str">
        <f t="shared" si="18"/>
        <v/>
      </c>
      <c r="N104" s="44"/>
      <c r="O104" s="44"/>
      <c r="P104" s="44"/>
      <c r="Q104" s="44"/>
      <c r="R104" s="45"/>
      <c r="S104" s="43"/>
      <c r="T104" s="43"/>
      <c r="U104" s="43"/>
      <c r="V104" s="43"/>
      <c r="W104" s="43"/>
      <c r="X104" s="43"/>
      <c r="Y104" s="43"/>
      <c r="Z104" s="43"/>
    </row>
    <row r="105" ht="15.75" customHeight="1">
      <c r="A105" s="43"/>
      <c r="B105" s="47"/>
      <c r="C105" s="47"/>
      <c r="D105" s="47"/>
      <c r="E105" s="47"/>
      <c r="F105" s="47"/>
      <c r="G105" s="47"/>
      <c r="H105" s="47"/>
      <c r="I105" s="48"/>
      <c r="J105" s="48"/>
      <c r="K105" s="47" t="str">
        <f t="shared" si="16"/>
        <v/>
      </c>
      <c r="L105" s="47" t="str">
        <f t="shared" si="17"/>
        <v/>
      </c>
      <c r="M105" s="49" t="str">
        <f t="shared" si="18"/>
        <v/>
      </c>
      <c r="N105" s="47"/>
      <c r="O105" s="47"/>
      <c r="P105" s="47"/>
      <c r="Q105" s="47"/>
      <c r="R105" s="48"/>
      <c r="S105" s="43"/>
      <c r="T105" s="43"/>
      <c r="U105" s="43"/>
      <c r="V105" s="43"/>
      <c r="W105" s="43"/>
      <c r="X105" s="43"/>
      <c r="Y105" s="43"/>
      <c r="Z105" s="43"/>
    </row>
    <row r="106" ht="15.75" customHeight="1">
      <c r="A106" s="43"/>
      <c r="B106" s="44"/>
      <c r="C106" s="44"/>
      <c r="D106" s="44"/>
      <c r="E106" s="44"/>
      <c r="F106" s="44"/>
      <c r="G106" s="44"/>
      <c r="H106" s="44"/>
      <c r="I106" s="45"/>
      <c r="J106" s="45"/>
      <c r="K106" s="44"/>
      <c r="L106" s="44"/>
      <c r="M106" s="46"/>
      <c r="N106" s="44"/>
      <c r="O106" s="44"/>
      <c r="P106" s="44"/>
      <c r="Q106" s="44"/>
      <c r="R106" s="45"/>
      <c r="S106" s="43"/>
      <c r="T106" s="43"/>
      <c r="U106" s="43"/>
      <c r="V106" s="43"/>
      <c r="W106" s="43"/>
      <c r="X106" s="43"/>
      <c r="Y106" s="43"/>
      <c r="Z106" s="43"/>
    </row>
    <row r="107" ht="15.75" customHeight="1">
      <c r="A107" s="50"/>
      <c r="B107" s="44"/>
      <c r="C107" s="44"/>
      <c r="D107" s="44"/>
      <c r="E107" s="44"/>
      <c r="F107" s="44"/>
      <c r="G107" s="44"/>
      <c r="H107" s="44"/>
      <c r="I107" s="45"/>
      <c r="J107" s="45"/>
      <c r="K107" s="44" t="str">
        <f t="shared" ref="K107:K122" si="19">IF(I107="","",IF(G107="Complete",R107-I107,TODAY()-I107))</f>
        <v/>
      </c>
      <c r="L107" s="44" t="str">
        <f t="shared" ref="L107:L122" si="20">IF(J107="","",IF(G107="Complete","Done",J107-TODAY()))</f>
        <v/>
      </c>
      <c r="M107" s="46" t="str">
        <f t="shared" ref="M107:M122" si="21">IFERROR(IF(I107="","",MIN(1,MAX(0,(TODAY()-I107)/(J107-I107)))),"")</f>
        <v/>
      </c>
      <c r="N107" s="44"/>
      <c r="O107" s="44"/>
      <c r="P107" s="44"/>
      <c r="Q107" s="44"/>
      <c r="R107" s="45"/>
      <c r="S107" s="43"/>
      <c r="T107" s="43"/>
      <c r="U107" s="43"/>
      <c r="V107" s="43"/>
      <c r="W107" s="43"/>
      <c r="X107" s="43"/>
      <c r="Y107" s="43"/>
      <c r="Z107" s="43"/>
    </row>
    <row r="108" ht="15.75" customHeight="1">
      <c r="A108" s="43"/>
      <c r="B108" s="47"/>
      <c r="C108" s="47"/>
      <c r="D108" s="47"/>
      <c r="E108" s="47"/>
      <c r="F108" s="47"/>
      <c r="G108" s="47"/>
      <c r="H108" s="47"/>
      <c r="I108" s="48"/>
      <c r="J108" s="48"/>
      <c r="K108" s="47" t="str">
        <f t="shared" si="19"/>
        <v/>
      </c>
      <c r="L108" s="47" t="str">
        <f t="shared" si="20"/>
        <v/>
      </c>
      <c r="M108" s="49" t="str">
        <f t="shared" si="21"/>
        <v/>
      </c>
      <c r="N108" s="47"/>
      <c r="O108" s="47"/>
      <c r="P108" s="47"/>
      <c r="Q108" s="47"/>
      <c r="R108" s="48"/>
      <c r="S108" s="43"/>
      <c r="T108" s="43"/>
      <c r="U108" s="43"/>
      <c r="V108" s="43"/>
      <c r="W108" s="43"/>
      <c r="X108" s="43"/>
      <c r="Y108" s="43"/>
      <c r="Z108" s="43"/>
    </row>
    <row r="109" ht="15.75" customHeight="1">
      <c r="A109" s="43"/>
      <c r="B109" s="44"/>
      <c r="C109" s="44"/>
      <c r="D109" s="44"/>
      <c r="E109" s="44"/>
      <c r="F109" s="44"/>
      <c r="G109" s="44"/>
      <c r="H109" s="44"/>
      <c r="I109" s="45"/>
      <c r="J109" s="45"/>
      <c r="K109" s="44" t="str">
        <f t="shared" si="19"/>
        <v/>
      </c>
      <c r="L109" s="44" t="str">
        <f t="shared" si="20"/>
        <v/>
      </c>
      <c r="M109" s="46" t="str">
        <f t="shared" si="21"/>
        <v/>
      </c>
      <c r="N109" s="44"/>
      <c r="O109" s="44"/>
      <c r="P109" s="44"/>
      <c r="Q109" s="44"/>
      <c r="R109" s="45"/>
      <c r="S109" s="43"/>
      <c r="T109" s="43"/>
      <c r="U109" s="43"/>
      <c r="V109" s="43"/>
      <c r="W109" s="43"/>
      <c r="X109" s="43"/>
      <c r="Y109" s="43"/>
      <c r="Z109" s="43"/>
    </row>
    <row r="110" ht="15.75" customHeight="1">
      <c r="A110" s="43"/>
      <c r="B110" s="47"/>
      <c r="C110" s="47"/>
      <c r="D110" s="47"/>
      <c r="E110" s="47"/>
      <c r="F110" s="47"/>
      <c r="G110" s="47"/>
      <c r="H110" s="47"/>
      <c r="I110" s="48"/>
      <c r="J110" s="48"/>
      <c r="K110" s="47" t="str">
        <f t="shared" si="19"/>
        <v/>
      </c>
      <c r="L110" s="47" t="str">
        <f t="shared" si="20"/>
        <v/>
      </c>
      <c r="M110" s="49" t="str">
        <f t="shared" si="21"/>
        <v/>
      </c>
      <c r="N110" s="47"/>
      <c r="O110" s="47"/>
      <c r="P110" s="47"/>
      <c r="Q110" s="47"/>
      <c r="R110" s="48"/>
      <c r="S110" s="43"/>
      <c r="T110" s="43"/>
      <c r="U110" s="43"/>
      <c r="V110" s="43"/>
      <c r="W110" s="43"/>
      <c r="X110" s="43"/>
      <c r="Y110" s="43"/>
      <c r="Z110" s="43"/>
    </row>
    <row r="111" ht="15.75" customHeight="1">
      <c r="A111" s="43"/>
      <c r="B111" s="44"/>
      <c r="C111" s="44"/>
      <c r="D111" s="44"/>
      <c r="E111" s="44"/>
      <c r="F111" s="44"/>
      <c r="G111" s="44"/>
      <c r="H111" s="44"/>
      <c r="I111" s="45"/>
      <c r="J111" s="45"/>
      <c r="K111" s="44" t="str">
        <f t="shared" si="19"/>
        <v/>
      </c>
      <c r="L111" s="44" t="str">
        <f t="shared" si="20"/>
        <v/>
      </c>
      <c r="M111" s="46" t="str">
        <f t="shared" si="21"/>
        <v/>
      </c>
      <c r="N111" s="44"/>
      <c r="O111" s="44"/>
      <c r="P111" s="44"/>
      <c r="Q111" s="44"/>
      <c r="R111" s="45"/>
      <c r="S111" s="43"/>
      <c r="T111" s="43"/>
      <c r="U111" s="43"/>
      <c r="V111" s="43"/>
      <c r="W111" s="43"/>
      <c r="X111" s="43"/>
      <c r="Y111" s="43"/>
      <c r="Z111" s="43"/>
    </row>
    <row r="112" ht="15.75" customHeight="1">
      <c r="A112" s="43"/>
      <c r="B112" s="47"/>
      <c r="C112" s="47"/>
      <c r="D112" s="47"/>
      <c r="E112" s="47"/>
      <c r="F112" s="47"/>
      <c r="G112" s="47"/>
      <c r="H112" s="47"/>
      <c r="I112" s="48"/>
      <c r="J112" s="48"/>
      <c r="K112" s="47" t="str">
        <f t="shared" si="19"/>
        <v/>
      </c>
      <c r="L112" s="47" t="str">
        <f t="shared" si="20"/>
        <v/>
      </c>
      <c r="M112" s="49" t="str">
        <f t="shared" si="21"/>
        <v/>
      </c>
      <c r="N112" s="47"/>
      <c r="O112" s="47"/>
      <c r="P112" s="47"/>
      <c r="Q112" s="47"/>
      <c r="R112" s="48"/>
      <c r="S112" s="43"/>
      <c r="T112" s="43"/>
      <c r="U112" s="43"/>
      <c r="V112" s="43"/>
      <c r="W112" s="43"/>
      <c r="X112" s="43"/>
      <c r="Y112" s="43"/>
      <c r="Z112" s="43"/>
    </row>
    <row r="113" ht="15.75" customHeight="1">
      <c r="A113" s="43"/>
      <c r="B113" s="44"/>
      <c r="C113" s="44"/>
      <c r="D113" s="44"/>
      <c r="E113" s="44"/>
      <c r="F113" s="44"/>
      <c r="G113" s="44"/>
      <c r="H113" s="44"/>
      <c r="I113" s="45"/>
      <c r="J113" s="45"/>
      <c r="K113" s="44" t="str">
        <f t="shared" si="19"/>
        <v/>
      </c>
      <c r="L113" s="44" t="str">
        <f t="shared" si="20"/>
        <v/>
      </c>
      <c r="M113" s="46" t="str">
        <f t="shared" si="21"/>
        <v/>
      </c>
      <c r="N113" s="44"/>
      <c r="O113" s="44"/>
      <c r="P113" s="44"/>
      <c r="Q113" s="44"/>
      <c r="R113" s="45"/>
      <c r="S113" s="43"/>
      <c r="T113" s="43"/>
      <c r="U113" s="43"/>
      <c r="V113" s="43"/>
      <c r="W113" s="43"/>
      <c r="X113" s="43"/>
      <c r="Y113" s="43"/>
      <c r="Z113" s="43"/>
    </row>
    <row r="114" ht="15.75" customHeight="1">
      <c r="A114" s="43"/>
      <c r="B114" s="47"/>
      <c r="C114" s="47"/>
      <c r="D114" s="47"/>
      <c r="E114" s="47"/>
      <c r="F114" s="47"/>
      <c r="G114" s="47"/>
      <c r="H114" s="47"/>
      <c r="I114" s="48"/>
      <c r="J114" s="48"/>
      <c r="K114" s="47" t="str">
        <f t="shared" si="19"/>
        <v/>
      </c>
      <c r="L114" s="47" t="str">
        <f t="shared" si="20"/>
        <v/>
      </c>
      <c r="M114" s="49" t="str">
        <f t="shared" si="21"/>
        <v/>
      </c>
      <c r="N114" s="47"/>
      <c r="O114" s="47"/>
      <c r="P114" s="47"/>
      <c r="Q114" s="47"/>
      <c r="R114" s="48"/>
      <c r="S114" s="43"/>
      <c r="T114" s="43"/>
      <c r="U114" s="43"/>
      <c r="V114" s="43"/>
      <c r="W114" s="43"/>
      <c r="X114" s="43"/>
      <c r="Y114" s="43"/>
      <c r="Z114" s="43"/>
    </row>
    <row r="115" ht="15.75" customHeight="1">
      <c r="A115" s="43"/>
      <c r="B115" s="44"/>
      <c r="C115" s="44"/>
      <c r="D115" s="44"/>
      <c r="E115" s="44"/>
      <c r="F115" s="44"/>
      <c r="G115" s="44"/>
      <c r="H115" s="44"/>
      <c r="I115" s="45"/>
      <c r="J115" s="45"/>
      <c r="K115" s="44" t="str">
        <f t="shared" si="19"/>
        <v/>
      </c>
      <c r="L115" s="44" t="str">
        <f t="shared" si="20"/>
        <v/>
      </c>
      <c r="M115" s="46" t="str">
        <f t="shared" si="21"/>
        <v/>
      </c>
      <c r="N115" s="44"/>
      <c r="O115" s="44"/>
      <c r="P115" s="44"/>
      <c r="Q115" s="44"/>
      <c r="R115" s="45"/>
      <c r="S115" s="43"/>
      <c r="T115" s="43"/>
      <c r="U115" s="43"/>
      <c r="V115" s="43"/>
      <c r="W115" s="43"/>
      <c r="X115" s="43"/>
      <c r="Y115" s="43"/>
      <c r="Z115" s="43"/>
    </row>
    <row r="116" ht="15.75" customHeight="1">
      <c r="A116" s="43"/>
      <c r="B116" s="47"/>
      <c r="C116" s="47"/>
      <c r="D116" s="47"/>
      <c r="E116" s="47"/>
      <c r="F116" s="47"/>
      <c r="G116" s="47"/>
      <c r="H116" s="47"/>
      <c r="I116" s="48"/>
      <c r="J116" s="48"/>
      <c r="K116" s="47" t="str">
        <f t="shared" si="19"/>
        <v/>
      </c>
      <c r="L116" s="47" t="str">
        <f t="shared" si="20"/>
        <v/>
      </c>
      <c r="M116" s="49" t="str">
        <f t="shared" si="21"/>
        <v/>
      </c>
      <c r="N116" s="47"/>
      <c r="O116" s="47"/>
      <c r="P116" s="47"/>
      <c r="Q116" s="47"/>
      <c r="R116" s="48"/>
      <c r="S116" s="43"/>
      <c r="T116" s="43"/>
      <c r="U116" s="43"/>
      <c r="V116" s="43"/>
      <c r="W116" s="43"/>
      <c r="X116" s="43"/>
      <c r="Y116" s="43"/>
      <c r="Z116" s="43"/>
    </row>
    <row r="117" ht="15.75" customHeight="1">
      <c r="A117" s="43"/>
      <c r="B117" s="44"/>
      <c r="C117" s="44"/>
      <c r="D117" s="44"/>
      <c r="E117" s="44"/>
      <c r="F117" s="44"/>
      <c r="G117" s="44"/>
      <c r="H117" s="44"/>
      <c r="I117" s="45"/>
      <c r="J117" s="45"/>
      <c r="K117" s="44" t="str">
        <f t="shared" si="19"/>
        <v/>
      </c>
      <c r="L117" s="44" t="str">
        <f t="shared" si="20"/>
        <v/>
      </c>
      <c r="M117" s="46" t="str">
        <f t="shared" si="21"/>
        <v/>
      </c>
      <c r="N117" s="44"/>
      <c r="O117" s="44"/>
      <c r="P117" s="44"/>
      <c r="Q117" s="44"/>
      <c r="R117" s="45"/>
      <c r="S117" s="43"/>
      <c r="T117" s="43"/>
      <c r="U117" s="43"/>
      <c r="V117" s="43"/>
      <c r="W117" s="43"/>
      <c r="X117" s="43"/>
      <c r="Y117" s="43"/>
      <c r="Z117" s="43"/>
    </row>
    <row r="118" ht="15.75" customHeight="1">
      <c r="A118" s="43"/>
      <c r="B118" s="47"/>
      <c r="C118" s="47"/>
      <c r="D118" s="47"/>
      <c r="E118" s="47"/>
      <c r="F118" s="47"/>
      <c r="G118" s="47"/>
      <c r="H118" s="47"/>
      <c r="I118" s="48"/>
      <c r="J118" s="48"/>
      <c r="K118" s="47" t="str">
        <f t="shared" si="19"/>
        <v/>
      </c>
      <c r="L118" s="47" t="str">
        <f t="shared" si="20"/>
        <v/>
      </c>
      <c r="M118" s="49" t="str">
        <f t="shared" si="21"/>
        <v/>
      </c>
      <c r="N118" s="47"/>
      <c r="O118" s="47"/>
      <c r="P118" s="47"/>
      <c r="Q118" s="47"/>
      <c r="R118" s="48"/>
      <c r="S118" s="43"/>
      <c r="T118" s="43"/>
      <c r="U118" s="43"/>
      <c r="V118" s="43"/>
      <c r="W118" s="43"/>
      <c r="X118" s="43"/>
      <c r="Y118" s="43"/>
      <c r="Z118" s="43"/>
    </row>
    <row r="119" ht="15.75" customHeight="1">
      <c r="A119" s="43"/>
      <c r="B119" s="44"/>
      <c r="C119" s="44"/>
      <c r="D119" s="44"/>
      <c r="E119" s="44"/>
      <c r="F119" s="44"/>
      <c r="G119" s="44"/>
      <c r="H119" s="44"/>
      <c r="I119" s="45"/>
      <c r="J119" s="45"/>
      <c r="K119" s="44" t="str">
        <f t="shared" si="19"/>
        <v/>
      </c>
      <c r="L119" s="44" t="str">
        <f t="shared" si="20"/>
        <v/>
      </c>
      <c r="M119" s="46" t="str">
        <f t="shared" si="21"/>
        <v/>
      </c>
      <c r="N119" s="44"/>
      <c r="O119" s="44"/>
      <c r="P119" s="44"/>
      <c r="Q119" s="44"/>
      <c r="R119" s="45"/>
      <c r="S119" s="43"/>
      <c r="T119" s="43"/>
      <c r="U119" s="43"/>
      <c r="V119" s="43"/>
      <c r="W119" s="43"/>
      <c r="X119" s="43"/>
      <c r="Y119" s="43"/>
      <c r="Z119" s="43"/>
    </row>
    <row r="120" ht="15.75" customHeight="1">
      <c r="A120" s="43"/>
      <c r="B120" s="47"/>
      <c r="C120" s="47"/>
      <c r="D120" s="47"/>
      <c r="E120" s="47"/>
      <c r="F120" s="47"/>
      <c r="G120" s="47"/>
      <c r="H120" s="47"/>
      <c r="I120" s="48"/>
      <c r="J120" s="48"/>
      <c r="K120" s="47" t="str">
        <f t="shared" si="19"/>
        <v/>
      </c>
      <c r="L120" s="47" t="str">
        <f t="shared" si="20"/>
        <v/>
      </c>
      <c r="M120" s="49" t="str">
        <f t="shared" si="21"/>
        <v/>
      </c>
      <c r="N120" s="47"/>
      <c r="O120" s="47"/>
      <c r="P120" s="47"/>
      <c r="Q120" s="47"/>
      <c r="R120" s="48"/>
      <c r="S120" s="43"/>
      <c r="T120" s="43"/>
      <c r="U120" s="43"/>
      <c r="V120" s="43"/>
      <c r="W120" s="43"/>
      <c r="X120" s="43"/>
      <c r="Y120" s="43"/>
      <c r="Z120" s="43"/>
    </row>
    <row r="121" ht="15.75" customHeight="1">
      <c r="A121" s="43"/>
      <c r="B121" s="44"/>
      <c r="C121" s="44"/>
      <c r="D121" s="44"/>
      <c r="E121" s="44"/>
      <c r="F121" s="44"/>
      <c r="G121" s="44"/>
      <c r="H121" s="44"/>
      <c r="I121" s="45"/>
      <c r="J121" s="45"/>
      <c r="K121" s="44" t="str">
        <f t="shared" si="19"/>
        <v/>
      </c>
      <c r="L121" s="44" t="str">
        <f t="shared" si="20"/>
        <v/>
      </c>
      <c r="M121" s="46" t="str">
        <f t="shared" si="21"/>
        <v/>
      </c>
      <c r="N121" s="44"/>
      <c r="O121" s="44"/>
      <c r="P121" s="44"/>
      <c r="Q121" s="44"/>
      <c r="R121" s="45"/>
      <c r="S121" s="43"/>
      <c r="T121" s="43"/>
      <c r="U121" s="43"/>
      <c r="V121" s="43"/>
      <c r="W121" s="43"/>
      <c r="X121" s="43"/>
      <c r="Y121" s="43"/>
      <c r="Z121" s="43"/>
    </row>
    <row r="122" ht="15.75" customHeight="1">
      <c r="A122" s="43"/>
      <c r="B122" s="47"/>
      <c r="C122" s="47"/>
      <c r="D122" s="47"/>
      <c r="E122" s="47"/>
      <c r="F122" s="47"/>
      <c r="G122" s="47"/>
      <c r="H122" s="47"/>
      <c r="I122" s="48"/>
      <c r="J122" s="48"/>
      <c r="K122" s="47" t="str">
        <f t="shared" si="19"/>
        <v/>
      </c>
      <c r="L122" s="47" t="str">
        <f t="shared" si="20"/>
        <v/>
      </c>
      <c r="M122" s="49" t="str">
        <f t="shared" si="21"/>
        <v/>
      </c>
      <c r="N122" s="47"/>
      <c r="O122" s="47"/>
      <c r="P122" s="47"/>
      <c r="Q122" s="47"/>
      <c r="R122" s="48"/>
      <c r="S122" s="43"/>
      <c r="T122" s="43"/>
      <c r="U122" s="43"/>
      <c r="V122" s="43"/>
      <c r="W122" s="43"/>
      <c r="X122" s="43"/>
      <c r="Y122" s="43"/>
      <c r="Z122" s="43"/>
    </row>
    <row r="123" ht="15.75" customHeight="1">
      <c r="A123" s="43"/>
      <c r="B123" s="44"/>
      <c r="C123" s="44"/>
      <c r="D123" s="44"/>
      <c r="E123" s="44"/>
      <c r="F123" s="44"/>
      <c r="G123" s="44"/>
      <c r="H123" s="44"/>
      <c r="I123" s="45"/>
      <c r="J123" s="45"/>
      <c r="K123" s="44"/>
      <c r="L123" s="44"/>
      <c r="M123" s="46"/>
      <c r="N123" s="44"/>
      <c r="O123" s="44"/>
      <c r="P123" s="44"/>
      <c r="Q123" s="44"/>
      <c r="R123" s="45"/>
      <c r="S123" s="43"/>
      <c r="T123" s="43"/>
      <c r="U123" s="43"/>
      <c r="V123" s="43"/>
      <c r="W123" s="43"/>
      <c r="X123" s="43"/>
      <c r="Y123" s="43"/>
      <c r="Z123" s="43"/>
    </row>
    <row r="124" ht="15.75" customHeight="1">
      <c r="E124" s="51"/>
      <c r="F124" s="51"/>
      <c r="G124" s="51"/>
      <c r="H124" s="51"/>
      <c r="M124" s="51"/>
    </row>
    <row r="125" ht="15.75" customHeight="1">
      <c r="E125" s="51"/>
      <c r="F125" s="51"/>
      <c r="G125" s="51"/>
      <c r="H125" s="51"/>
      <c r="M125" s="51"/>
    </row>
    <row r="126" ht="15.75" customHeight="1">
      <c r="E126" s="51"/>
      <c r="F126" s="51"/>
      <c r="G126" s="51"/>
      <c r="H126" s="51"/>
      <c r="M126" s="51"/>
    </row>
    <row r="127" ht="15.75" customHeight="1">
      <c r="E127" s="51"/>
      <c r="F127" s="51"/>
      <c r="G127" s="51"/>
      <c r="H127" s="51"/>
      <c r="M127" s="51"/>
    </row>
    <row r="128" ht="15.75" customHeight="1">
      <c r="E128" s="51"/>
      <c r="F128" s="51"/>
      <c r="G128" s="51"/>
      <c r="H128" s="51"/>
      <c r="M128" s="51"/>
    </row>
    <row r="129" ht="15.75" customHeight="1">
      <c r="E129" s="51"/>
      <c r="F129" s="51"/>
      <c r="G129" s="51"/>
      <c r="H129" s="51"/>
      <c r="M129" s="51"/>
    </row>
    <row r="130" ht="15.75" customHeight="1">
      <c r="E130" s="51"/>
      <c r="F130" s="51"/>
      <c r="G130" s="51"/>
      <c r="H130" s="51"/>
      <c r="M130" s="51"/>
    </row>
    <row r="131" ht="15.75" customHeight="1">
      <c r="E131" s="51"/>
      <c r="F131" s="51"/>
      <c r="G131" s="51"/>
      <c r="H131" s="51"/>
      <c r="M131" s="51"/>
    </row>
    <row r="132" ht="15.75" customHeight="1">
      <c r="E132" s="51"/>
      <c r="F132" s="51"/>
      <c r="G132" s="51"/>
      <c r="H132" s="51"/>
      <c r="M132" s="51"/>
    </row>
    <row r="133" ht="15.75" customHeight="1">
      <c r="E133" s="51"/>
      <c r="F133" s="51"/>
      <c r="G133" s="51"/>
      <c r="H133" s="51"/>
      <c r="M133" s="51"/>
    </row>
    <row r="134" ht="15.75" customHeight="1">
      <c r="E134" s="51"/>
      <c r="F134" s="51"/>
      <c r="G134" s="51"/>
      <c r="H134" s="51"/>
      <c r="M134" s="51"/>
    </row>
    <row r="135" ht="15.75" customHeight="1">
      <c r="E135" s="51"/>
      <c r="F135" s="51"/>
      <c r="G135" s="51"/>
      <c r="H135" s="51"/>
      <c r="M135" s="51"/>
    </row>
    <row r="136" ht="15.75" customHeight="1">
      <c r="E136" s="51"/>
      <c r="F136" s="51"/>
      <c r="G136" s="51"/>
      <c r="H136" s="51"/>
      <c r="M136" s="51"/>
    </row>
    <row r="137" ht="15.75" customHeight="1">
      <c r="E137" s="51"/>
      <c r="F137" s="51"/>
      <c r="G137" s="51"/>
      <c r="H137" s="51"/>
      <c r="M137" s="51"/>
    </row>
    <row r="138" ht="15.75" customHeight="1">
      <c r="E138" s="51"/>
      <c r="F138" s="51"/>
      <c r="G138" s="51"/>
      <c r="H138" s="51"/>
      <c r="M138" s="51"/>
    </row>
    <row r="139" ht="15.75" customHeight="1">
      <c r="E139" s="51"/>
      <c r="F139" s="51"/>
      <c r="G139" s="51"/>
      <c r="H139" s="51"/>
      <c r="M139" s="51"/>
    </row>
    <row r="140" ht="15.75" customHeight="1">
      <c r="E140" s="51"/>
      <c r="F140" s="51"/>
      <c r="G140" s="51"/>
      <c r="H140" s="51"/>
      <c r="M140" s="51"/>
    </row>
    <row r="141" ht="15.75" customHeight="1">
      <c r="E141" s="51"/>
      <c r="F141" s="51"/>
      <c r="G141" s="51"/>
      <c r="H141" s="51"/>
      <c r="M141" s="51"/>
    </row>
    <row r="142" ht="15.75" customHeight="1">
      <c r="E142" s="51"/>
      <c r="F142" s="51"/>
      <c r="G142" s="51"/>
      <c r="H142" s="51"/>
      <c r="M142" s="51"/>
    </row>
    <row r="143" ht="15.75" customHeight="1">
      <c r="E143" s="51"/>
      <c r="F143" s="51"/>
      <c r="G143" s="51"/>
      <c r="H143" s="51"/>
      <c r="M143" s="51"/>
    </row>
    <row r="144" ht="15.75" customHeight="1">
      <c r="E144" s="51"/>
      <c r="F144" s="51"/>
      <c r="G144" s="51"/>
      <c r="H144" s="51"/>
      <c r="M144" s="51"/>
    </row>
    <row r="145" ht="15.75" customHeight="1">
      <c r="E145" s="51"/>
      <c r="F145" s="51"/>
      <c r="G145" s="51"/>
      <c r="H145" s="51"/>
      <c r="M145" s="51"/>
    </row>
    <row r="146" ht="15.75" customHeight="1">
      <c r="E146" s="51"/>
      <c r="F146" s="51"/>
      <c r="G146" s="51"/>
      <c r="H146" s="51"/>
      <c r="M146" s="51"/>
    </row>
    <row r="147" ht="15.75" customHeight="1">
      <c r="E147" s="51"/>
      <c r="F147" s="51"/>
      <c r="G147" s="51"/>
      <c r="H147" s="51"/>
      <c r="M147" s="51"/>
    </row>
    <row r="148" ht="15.75" customHeight="1">
      <c r="E148" s="51"/>
      <c r="F148" s="51"/>
      <c r="G148" s="51"/>
      <c r="H148" s="51"/>
      <c r="M148" s="51"/>
    </row>
    <row r="149" ht="15.75" customHeight="1">
      <c r="E149" s="51"/>
      <c r="F149" s="51"/>
      <c r="G149" s="51"/>
      <c r="H149" s="51"/>
      <c r="M149" s="51"/>
    </row>
    <row r="150" ht="15.75" customHeight="1">
      <c r="E150" s="51"/>
      <c r="F150" s="51"/>
      <c r="G150" s="51"/>
      <c r="H150" s="51"/>
      <c r="M150" s="51"/>
    </row>
    <row r="151" ht="15.75" customHeight="1">
      <c r="E151" s="51"/>
      <c r="F151" s="51"/>
      <c r="G151" s="51"/>
      <c r="H151" s="51"/>
      <c r="M151" s="51"/>
    </row>
    <row r="152" ht="15.75" customHeight="1">
      <c r="E152" s="51"/>
      <c r="F152" s="51"/>
      <c r="G152" s="51"/>
      <c r="H152" s="51"/>
      <c r="M152" s="51"/>
    </row>
    <row r="153" ht="15.75" customHeight="1">
      <c r="E153" s="51"/>
      <c r="F153" s="51"/>
      <c r="G153" s="51"/>
      <c r="H153" s="51"/>
      <c r="M153" s="51"/>
    </row>
    <row r="154" ht="15.75" customHeight="1">
      <c r="E154" s="51"/>
      <c r="F154" s="51"/>
      <c r="G154" s="51"/>
      <c r="H154" s="51"/>
      <c r="M154" s="51"/>
    </row>
    <row r="155" ht="15.75" customHeight="1">
      <c r="E155" s="51"/>
      <c r="F155" s="51"/>
      <c r="G155" s="51"/>
      <c r="H155" s="51"/>
      <c r="M155" s="51"/>
    </row>
    <row r="156" ht="15.75" customHeight="1">
      <c r="E156" s="51"/>
      <c r="F156" s="51"/>
      <c r="G156" s="51"/>
      <c r="H156" s="51"/>
      <c r="M156" s="51"/>
    </row>
    <row r="157" ht="15.75" customHeight="1">
      <c r="E157" s="51"/>
      <c r="F157" s="51"/>
      <c r="G157" s="51"/>
      <c r="H157" s="51"/>
      <c r="M157" s="51"/>
    </row>
    <row r="158" ht="15.75" customHeight="1">
      <c r="E158" s="51"/>
      <c r="F158" s="51"/>
      <c r="G158" s="51"/>
      <c r="H158" s="51"/>
      <c r="M158" s="51"/>
    </row>
    <row r="159" ht="15.75" customHeight="1">
      <c r="E159" s="51"/>
      <c r="F159" s="51"/>
      <c r="G159" s="51"/>
      <c r="H159" s="51"/>
      <c r="M159" s="51"/>
    </row>
    <row r="160" ht="15.75" customHeight="1">
      <c r="E160" s="51"/>
      <c r="F160" s="51"/>
      <c r="G160" s="51"/>
      <c r="H160" s="51"/>
      <c r="M160" s="51"/>
    </row>
    <row r="161" ht="15.75" customHeight="1">
      <c r="E161" s="51"/>
      <c r="F161" s="51"/>
      <c r="G161" s="51"/>
      <c r="H161" s="51"/>
      <c r="M161" s="51"/>
    </row>
    <row r="162" ht="15.75" customHeight="1">
      <c r="E162" s="51"/>
      <c r="F162" s="51"/>
      <c r="G162" s="51"/>
      <c r="H162" s="51"/>
      <c r="M162" s="51"/>
    </row>
    <row r="163" ht="15.75" customHeight="1">
      <c r="E163" s="51"/>
      <c r="F163" s="51"/>
      <c r="G163" s="51"/>
      <c r="H163" s="51"/>
      <c r="M163" s="51"/>
    </row>
    <row r="164" ht="15.75" customHeight="1">
      <c r="E164" s="51"/>
      <c r="F164" s="51"/>
      <c r="G164" s="51"/>
      <c r="H164" s="51"/>
      <c r="M164" s="51"/>
    </row>
    <row r="165" ht="15.75" customHeight="1">
      <c r="E165" s="51"/>
      <c r="F165" s="51"/>
      <c r="G165" s="51"/>
      <c r="H165" s="51"/>
      <c r="M165" s="51"/>
    </row>
    <row r="166" ht="15.75" customHeight="1">
      <c r="E166" s="51"/>
      <c r="F166" s="51"/>
      <c r="G166" s="51"/>
      <c r="H166" s="51"/>
      <c r="M166" s="51"/>
    </row>
    <row r="167" ht="15.75" customHeight="1">
      <c r="E167" s="51"/>
      <c r="F167" s="51"/>
      <c r="G167" s="51"/>
      <c r="H167" s="51"/>
      <c r="M167" s="51"/>
    </row>
    <row r="168" ht="15.75" customHeight="1">
      <c r="E168" s="51"/>
      <c r="F168" s="51"/>
      <c r="G168" s="51"/>
      <c r="H168" s="51"/>
      <c r="M168" s="51"/>
    </row>
    <row r="169" ht="15.75" customHeight="1">
      <c r="E169" s="51"/>
      <c r="F169" s="51"/>
      <c r="G169" s="51"/>
      <c r="H169" s="51"/>
      <c r="M169" s="51"/>
    </row>
    <row r="170" ht="15.75" customHeight="1">
      <c r="E170" s="51"/>
      <c r="F170" s="51"/>
      <c r="G170" s="51"/>
      <c r="H170" s="51"/>
      <c r="M170" s="51"/>
    </row>
    <row r="171" ht="15.75" customHeight="1">
      <c r="E171" s="51"/>
      <c r="F171" s="51"/>
      <c r="G171" s="51"/>
      <c r="H171" s="51"/>
      <c r="M171" s="51"/>
    </row>
    <row r="172" ht="15.75" customHeight="1">
      <c r="E172" s="51"/>
      <c r="F172" s="51"/>
      <c r="G172" s="51"/>
      <c r="H172" s="51"/>
      <c r="M172" s="51"/>
    </row>
    <row r="173" ht="15.75" customHeight="1">
      <c r="E173" s="51"/>
      <c r="F173" s="51"/>
      <c r="G173" s="51"/>
      <c r="H173" s="51"/>
      <c r="M173" s="51"/>
    </row>
    <row r="174" ht="15.75" customHeight="1">
      <c r="E174" s="51"/>
      <c r="F174" s="51"/>
      <c r="G174" s="51"/>
      <c r="H174" s="51"/>
      <c r="M174" s="51"/>
    </row>
    <row r="175" ht="15.75" customHeight="1">
      <c r="E175" s="51"/>
      <c r="F175" s="51"/>
      <c r="G175" s="51"/>
      <c r="H175" s="51"/>
      <c r="M175" s="51"/>
    </row>
    <row r="176" ht="15.75" customHeight="1">
      <c r="E176" s="51"/>
      <c r="F176" s="51"/>
      <c r="G176" s="51"/>
      <c r="H176" s="51"/>
      <c r="M176" s="51"/>
    </row>
    <row r="177" ht="15.75" customHeight="1">
      <c r="E177" s="51"/>
      <c r="F177" s="51"/>
      <c r="G177" s="51"/>
      <c r="H177" s="51"/>
      <c r="M177" s="51"/>
    </row>
    <row r="178" ht="15.75" customHeight="1">
      <c r="E178" s="51"/>
      <c r="F178" s="51"/>
      <c r="G178" s="51"/>
      <c r="H178" s="51"/>
      <c r="M178" s="51"/>
    </row>
    <row r="179" ht="15.75" customHeight="1">
      <c r="E179" s="51"/>
      <c r="F179" s="51"/>
      <c r="G179" s="51"/>
      <c r="H179" s="51"/>
      <c r="M179" s="51"/>
    </row>
    <row r="180" ht="15.75" customHeight="1">
      <c r="E180" s="51"/>
      <c r="F180" s="51"/>
      <c r="G180" s="51"/>
      <c r="H180" s="51"/>
      <c r="M180" s="51"/>
    </row>
    <row r="181" ht="15.75" customHeight="1">
      <c r="E181" s="51"/>
      <c r="F181" s="51"/>
      <c r="G181" s="51"/>
      <c r="H181" s="51"/>
      <c r="M181" s="51"/>
    </row>
    <row r="182" ht="15.75" customHeight="1">
      <c r="E182" s="51"/>
      <c r="F182" s="51"/>
      <c r="G182" s="51"/>
      <c r="H182" s="51"/>
      <c r="M182" s="51"/>
    </row>
    <row r="183" ht="15.75" customHeight="1">
      <c r="E183" s="51"/>
      <c r="F183" s="51"/>
      <c r="G183" s="51"/>
      <c r="H183" s="51"/>
      <c r="M183" s="51"/>
    </row>
    <row r="184" ht="15.75" customHeight="1">
      <c r="E184" s="51"/>
      <c r="F184" s="51"/>
      <c r="G184" s="51"/>
      <c r="H184" s="51"/>
      <c r="M184" s="51"/>
    </row>
    <row r="185" ht="15.75" customHeight="1">
      <c r="E185" s="51"/>
      <c r="F185" s="51"/>
      <c r="G185" s="51"/>
      <c r="H185" s="51"/>
      <c r="M185" s="51"/>
    </row>
    <row r="186" ht="15.75" customHeight="1">
      <c r="E186" s="51"/>
      <c r="F186" s="51"/>
      <c r="G186" s="51"/>
      <c r="H186" s="51"/>
      <c r="M186" s="51"/>
    </row>
    <row r="187" ht="15.75" customHeight="1">
      <c r="E187" s="51"/>
      <c r="F187" s="51"/>
      <c r="G187" s="51"/>
      <c r="H187" s="51"/>
      <c r="M187" s="51"/>
    </row>
    <row r="188" ht="15.75" customHeight="1">
      <c r="E188" s="51"/>
      <c r="F188" s="51"/>
      <c r="G188" s="51"/>
      <c r="H188" s="51"/>
      <c r="M188" s="51"/>
    </row>
    <row r="189" ht="15.75" customHeight="1">
      <c r="E189" s="51"/>
      <c r="F189" s="51"/>
      <c r="G189" s="51"/>
      <c r="H189" s="51"/>
      <c r="M189" s="51"/>
    </row>
    <row r="190" ht="15.75" customHeight="1">
      <c r="E190" s="51"/>
      <c r="F190" s="51"/>
      <c r="G190" s="51"/>
      <c r="H190" s="51"/>
      <c r="M190" s="51"/>
    </row>
    <row r="191" ht="15.75" customHeight="1">
      <c r="E191" s="51"/>
      <c r="F191" s="51"/>
      <c r="G191" s="51"/>
      <c r="H191" s="51"/>
      <c r="M191" s="51"/>
    </row>
    <row r="192" ht="15.75" customHeight="1">
      <c r="E192" s="51"/>
      <c r="F192" s="51"/>
      <c r="G192" s="51"/>
      <c r="H192" s="51"/>
      <c r="M192" s="51"/>
    </row>
    <row r="193" ht="15.75" customHeight="1">
      <c r="E193" s="51"/>
      <c r="F193" s="51"/>
      <c r="G193" s="51"/>
      <c r="H193" s="51"/>
      <c r="M193" s="51"/>
    </row>
    <row r="194" ht="15.75" customHeight="1">
      <c r="E194" s="51"/>
      <c r="F194" s="51"/>
      <c r="G194" s="51"/>
      <c r="H194" s="51"/>
      <c r="M194" s="51"/>
    </row>
    <row r="195" ht="15.75" customHeight="1">
      <c r="E195" s="51"/>
      <c r="F195" s="51"/>
      <c r="G195" s="51"/>
      <c r="H195" s="51"/>
      <c r="M195" s="51"/>
    </row>
    <row r="196" ht="15.75" customHeight="1">
      <c r="E196" s="51"/>
      <c r="F196" s="51"/>
      <c r="G196" s="51"/>
      <c r="H196" s="51"/>
      <c r="M196" s="51"/>
    </row>
    <row r="197" ht="15.75" customHeight="1">
      <c r="E197" s="51"/>
      <c r="F197" s="51"/>
      <c r="G197" s="51"/>
      <c r="H197" s="51"/>
      <c r="M197" s="51"/>
    </row>
    <row r="198" ht="15.75" customHeight="1">
      <c r="E198" s="51"/>
      <c r="F198" s="51"/>
      <c r="G198" s="51"/>
      <c r="H198" s="51"/>
      <c r="M198" s="51"/>
    </row>
    <row r="199" ht="15.75" customHeight="1">
      <c r="E199" s="51"/>
      <c r="F199" s="51"/>
      <c r="G199" s="51"/>
      <c r="H199" s="51"/>
      <c r="M199" s="51"/>
    </row>
    <row r="200" ht="15.75" customHeight="1">
      <c r="E200" s="51"/>
      <c r="F200" s="51"/>
      <c r="G200" s="51"/>
      <c r="H200" s="51"/>
      <c r="M200" s="51"/>
    </row>
    <row r="201" ht="15.75" customHeight="1">
      <c r="E201" s="51"/>
      <c r="F201" s="51"/>
      <c r="G201" s="51"/>
      <c r="H201" s="51"/>
      <c r="M201" s="51"/>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B2:R2"/>
    <mergeCell ref="B3:R3"/>
  </mergeCells>
  <conditionalFormatting sqref="G5:G1001">
    <cfRule type="cellIs" dxfId="3" priority="1" operator="equal">
      <formula>"Not Started"</formula>
    </cfRule>
  </conditionalFormatting>
  <conditionalFormatting sqref="G5:G1001">
    <cfRule type="cellIs" dxfId="4" priority="2" operator="equal">
      <formula>"In Progress"</formula>
    </cfRule>
  </conditionalFormatting>
  <conditionalFormatting sqref="G5:G1001">
    <cfRule type="cellIs" dxfId="5" priority="3" operator="equal">
      <formula>"Blocked"</formula>
    </cfRule>
  </conditionalFormatting>
  <conditionalFormatting sqref="G5:G1001">
    <cfRule type="cellIs" dxfId="6" priority="4" operator="equal">
      <formula>"At Risk"</formula>
    </cfRule>
  </conditionalFormatting>
  <conditionalFormatting sqref="G5:G1001">
    <cfRule type="cellIs" dxfId="7" priority="5" operator="equal">
      <formula>"Complete"</formula>
    </cfRule>
  </conditionalFormatting>
  <conditionalFormatting sqref="G5:G1001">
    <cfRule type="cellIs" dxfId="8" priority="6" operator="equal">
      <formula>"On Hold"</formula>
    </cfRule>
  </conditionalFormatting>
  <conditionalFormatting sqref="J5:J1001">
    <cfRule type="expression" dxfId="9" priority="7">
      <formula>AND(J5&lt;&gt;"",J5&lt;TODAY(),G5&lt;&gt;"Complete")</formula>
    </cfRule>
  </conditionalFormatting>
  <conditionalFormatting sqref="L5:L1001">
    <cfRule type="colorScale" priority="8">
      <colorScale>
        <cfvo type="formula" val="0"/>
        <cfvo type="formula" val="14"/>
        <cfvo type="formula" val="45"/>
        <color rgb="FFF9C0C0"/>
        <color rgb="FFFCE9C2"/>
        <color rgb="FFCDEFD8"/>
      </colorScale>
    </cfRule>
  </conditionalFormatting>
  <conditionalFormatting sqref="M5:M1001">
    <cfRule type="colorScale" priority="9">
      <colorScale>
        <cfvo type="formula" val="0"/>
        <cfvo type="formula" val="1"/>
        <color rgb="FFFFFFFF"/>
        <color rgb="FF27AE60"/>
      </colorScale>
    </cfRule>
  </conditionalFormatting>
  <dataValidations>
    <dataValidation type="list" allowBlank="1" sqref="H5:H201">
      <formula1>"P1,P2,P3"</formula1>
    </dataValidation>
    <dataValidation type="list" allowBlank="1" sqref="G5:G201">
      <formula1>"Not Started,In Progress,Blocked,At Risk,Complete,On Hold"</formula1>
    </dataValidation>
    <dataValidation type="list" allowBlank="1" sqref="E5:E201">
      <formula1>"Data &amp; Reporting,Operations,Technology,Supply / Educators,Client Relationships,Onboarding (Applicant),Onboarding (Client),People &amp; Org,Governance,Other"</formula1>
    </dataValidation>
    <dataValidation type="list" allowBlank="1" sqref="F5:F201">
      <formula1>"Liam,Jane,Adrian,Lorie,Sophia,Joy,Raj/Prince,Marsha,Mary,Vicky,Joy/Sophia"</formula1>
    </dataValidation>
    <dataValidation type="decimal" allowBlank="1" sqref="M5:M201">
      <formula1>0.0</formula1>
      <formula2>1.0</formula2>
    </dataValidation>
  </dataValidations>
  <printOptions/>
  <pageMargins bottom="1.0" footer="0.0" header="0.0" left="0.75" right="0.75" top="1.0"/>
  <pageSetup paperSize="9" orientation="portrait"/>
  <drawing r:id="rId1"/>
  <tableParts count="5">
    <tablePart r:id="rId7"/>
    <tablePart r:id="rId8"/>
    <tablePart r:id="rId9"/>
    <tablePart r:id="rId10"/>
    <tablePart r:id="rId1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A6FF8"/>
    <pageSetUpPr/>
  </sheetPr>
  <sheetViews>
    <sheetView showGridLines="0" workbookViewId="0"/>
  </sheetViews>
  <sheetFormatPr customHeight="1" defaultColWidth="14.43" defaultRowHeight="15.0"/>
  <cols>
    <col customWidth="1" min="1" max="1" width="2.0"/>
    <col customWidth="1" min="2" max="2" width="18.0"/>
    <col customWidth="1" min="3" max="8" width="14.0"/>
    <col customWidth="1" min="9" max="26" width="8.71"/>
  </cols>
  <sheetData>
    <row r="2" ht="30.0" customHeight="1">
      <c r="B2" s="52" t="s">
        <v>214</v>
      </c>
    </row>
    <row r="4">
      <c r="B4" s="53" t="s">
        <v>215</v>
      </c>
      <c r="C4" s="54"/>
      <c r="D4" s="54"/>
      <c r="E4" s="54"/>
      <c r="F4" s="54"/>
      <c r="G4" s="54"/>
      <c r="H4" s="55"/>
    </row>
    <row r="5" ht="15.0" customHeight="1">
      <c r="B5" s="56" t="s">
        <v>216</v>
      </c>
    </row>
    <row r="7">
      <c r="B7" s="53" t="s">
        <v>217</v>
      </c>
      <c r="C7" s="54"/>
      <c r="D7" s="54"/>
      <c r="E7" s="54"/>
      <c r="F7" s="54"/>
      <c r="G7" s="54"/>
      <c r="H7" s="55"/>
    </row>
    <row r="8" ht="15.0" customHeight="1">
      <c r="B8" s="56" t="s">
        <v>218</v>
      </c>
    </row>
    <row r="10">
      <c r="B10" s="53" t="s">
        <v>219</v>
      </c>
      <c r="C10" s="54"/>
      <c r="D10" s="54"/>
      <c r="E10" s="54"/>
      <c r="F10" s="54"/>
      <c r="G10" s="54"/>
      <c r="H10" s="55"/>
    </row>
    <row r="11" ht="15.0" customHeight="1">
      <c r="B11" s="56" t="s">
        <v>220</v>
      </c>
    </row>
    <row r="13">
      <c r="B13" s="53" t="s">
        <v>221</v>
      </c>
      <c r="C13" s="54"/>
      <c r="D13" s="54"/>
      <c r="E13" s="54"/>
      <c r="F13" s="54"/>
      <c r="G13" s="54"/>
      <c r="H13" s="55"/>
    </row>
    <row r="14" ht="15.0" customHeight="1">
      <c r="B14" s="56" t="s">
        <v>222</v>
      </c>
    </row>
    <row r="16">
      <c r="B16" s="57" t="s">
        <v>223</v>
      </c>
      <c r="C16" s="54"/>
      <c r="D16" s="54"/>
      <c r="E16" s="54"/>
      <c r="F16" s="54"/>
      <c r="G16" s="54"/>
      <c r="H16" s="55"/>
    </row>
    <row r="17" ht="15.0" customHeight="1">
      <c r="B17" s="56" t="s">
        <v>224</v>
      </c>
    </row>
    <row r="19">
      <c r="B19" s="53" t="s">
        <v>225</v>
      </c>
      <c r="C19" s="54"/>
      <c r="D19" s="54"/>
      <c r="E19" s="54"/>
      <c r="F19" s="54"/>
      <c r="G19" s="54"/>
      <c r="H19" s="55"/>
    </row>
    <row r="20" ht="15.0" customHeight="1">
      <c r="B20" s="56" t="s">
        <v>226</v>
      </c>
    </row>
    <row r="21" ht="15.75" customHeight="1"/>
    <row r="22" ht="15.75" customHeight="1">
      <c r="B22" s="53" t="s">
        <v>227</v>
      </c>
      <c r="C22" s="54"/>
      <c r="D22" s="54"/>
      <c r="E22" s="54"/>
      <c r="F22" s="54"/>
      <c r="G22" s="54"/>
      <c r="H22" s="55"/>
    </row>
    <row r="23" ht="15.0" customHeight="1">
      <c r="B23" s="56" t="s">
        <v>228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13:H13"/>
    <mergeCell ref="B14:H14"/>
    <mergeCell ref="B16:H16"/>
    <mergeCell ref="B17:H17"/>
    <mergeCell ref="B19:H19"/>
    <mergeCell ref="B20:H20"/>
    <mergeCell ref="B22:H22"/>
    <mergeCell ref="B23:H23"/>
    <mergeCell ref="B2:H2"/>
    <mergeCell ref="B4:H4"/>
    <mergeCell ref="B5:H5"/>
    <mergeCell ref="B7:H7"/>
    <mergeCell ref="B8:H8"/>
    <mergeCell ref="B10:H10"/>
    <mergeCell ref="B11:H1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7280"/>
    <pageSetUpPr/>
  </sheetPr>
  <sheetViews>
    <sheetView showGridLines="0" workbookViewId="0"/>
  </sheetViews>
  <sheetFormatPr customHeight="1" defaultColWidth="14.43" defaultRowHeight="15.0"/>
  <cols>
    <col customWidth="1" min="1" max="1" width="2.0"/>
    <col customWidth="1" min="2" max="2" width="18.0"/>
    <col customWidth="1" min="3" max="8" width="14.0"/>
    <col customWidth="1" min="9" max="26" width="8.71"/>
  </cols>
  <sheetData>
    <row r="2" ht="30.0" customHeight="1">
      <c r="B2" s="52" t="s">
        <v>229</v>
      </c>
    </row>
    <row r="4" ht="15.0" customHeight="1">
      <c r="B4" s="58" t="s">
        <v>230</v>
      </c>
    </row>
    <row r="5" ht="15.0" customHeight="1">
      <c r="B5" s="56" t="s">
        <v>231</v>
      </c>
    </row>
    <row r="6">
      <c r="B6" s="56"/>
    </row>
    <row r="7" ht="15.0" customHeight="1">
      <c r="B7" s="58" t="s">
        <v>232</v>
      </c>
    </row>
    <row r="8" ht="15.0" customHeight="1">
      <c r="B8" s="56" t="s">
        <v>233</v>
      </c>
    </row>
    <row r="9">
      <c r="B9" s="56"/>
    </row>
    <row r="10" ht="15.0" customHeight="1">
      <c r="B10" s="58" t="s">
        <v>234</v>
      </c>
    </row>
    <row r="11" ht="15.0" customHeight="1">
      <c r="B11" s="56" t="s">
        <v>235</v>
      </c>
    </row>
    <row r="12" ht="15.0" customHeight="1">
      <c r="B12" s="59" t="s">
        <v>236</v>
      </c>
    </row>
    <row r="13" ht="15.0" customHeight="1">
      <c r="B13" s="56" t="s">
        <v>237</v>
      </c>
    </row>
    <row r="14" ht="15.0" customHeight="1">
      <c r="B14" s="56" t="s">
        <v>238</v>
      </c>
    </row>
    <row r="15">
      <c r="B15" s="56"/>
    </row>
    <row r="16" ht="15.0" customHeight="1">
      <c r="B16" s="58" t="s">
        <v>239</v>
      </c>
    </row>
    <row r="17" ht="15.0" customHeight="1">
      <c r="B17" s="56" t="s">
        <v>240</v>
      </c>
    </row>
    <row r="18" ht="15.0" customHeight="1">
      <c r="B18" s="56" t="s">
        <v>241</v>
      </c>
    </row>
    <row r="19" ht="15.0" customHeight="1">
      <c r="B19" s="56" t="s">
        <v>242</v>
      </c>
    </row>
    <row r="20" ht="15.0" customHeight="1">
      <c r="B20" s="56" t="s">
        <v>243</v>
      </c>
    </row>
    <row r="21" ht="15.75" customHeight="1">
      <c r="B21" s="56"/>
    </row>
    <row r="22" ht="15.0" customHeight="1">
      <c r="B22" s="58" t="s">
        <v>244</v>
      </c>
    </row>
    <row r="23" ht="23.25" customHeight="1">
      <c r="B23" s="56" t="s">
        <v>245</v>
      </c>
    </row>
    <row r="24" ht="15.0" customHeight="1">
      <c r="B24" s="56" t="s">
        <v>246</v>
      </c>
    </row>
    <row r="25" ht="15.0" customHeight="1">
      <c r="B25" s="56" t="s">
        <v>247</v>
      </c>
    </row>
    <row r="26" ht="15.75" customHeight="1">
      <c r="B26" s="56"/>
    </row>
    <row r="27" ht="15.0" customHeight="1">
      <c r="B27" s="58" t="s">
        <v>248</v>
      </c>
    </row>
    <row r="28" ht="15.0" customHeight="1">
      <c r="B28" s="56" t="s">
        <v>249</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2:H2"/>
    <mergeCell ref="B4:H4"/>
    <mergeCell ref="B5:H5"/>
    <mergeCell ref="B6:H6"/>
    <mergeCell ref="B7:H7"/>
    <mergeCell ref="B8:H8"/>
    <mergeCell ref="B9:H9"/>
    <mergeCell ref="B10:H10"/>
    <mergeCell ref="B11:H11"/>
    <mergeCell ref="B12:H12"/>
    <mergeCell ref="B13:H13"/>
    <mergeCell ref="B14:H14"/>
    <mergeCell ref="B15:H15"/>
    <mergeCell ref="B16:H16"/>
    <mergeCell ref="B24:H24"/>
    <mergeCell ref="B25:H25"/>
    <mergeCell ref="B26:H26"/>
    <mergeCell ref="B27:H27"/>
    <mergeCell ref="B28:H28"/>
    <mergeCell ref="B17:H17"/>
    <mergeCell ref="B18:H18"/>
    <mergeCell ref="B19:H19"/>
    <mergeCell ref="B20:H20"/>
    <mergeCell ref="B21:H21"/>
    <mergeCell ref="B22:H22"/>
    <mergeCell ref="B23:H23"/>
  </mergeCells>
  <printOptions/>
  <pageMargins bottom="1.0" footer="0.0" header="0.0" left="0.75" right="0.75" top="1.0"/>
  <pageSetup paperSize="9" orientation="portrait"/>
  <drawing r:id="rId1"/>
</worksheet>
</file>